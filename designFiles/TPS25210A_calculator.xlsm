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geib\Documents\mosaicIoT\KICAD\mowi\designTools\"/>
    </mc:Choice>
  </mc:AlternateContent>
  <xr:revisionPtr revIDLastSave="0" documentId="13_ncr:1_{32960715-C7BE-4A99-81B6-2B2EB226174C}" xr6:coauthVersionLast="47" xr6:coauthVersionMax="47" xr10:uidLastSave="{00000000-0000-0000-0000-000000000000}"/>
  <bookViews>
    <workbookView xWindow="-108" yWindow="-108" windowWidth="23256" windowHeight="12576"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Sheet'!$D$68</definedName>
    <definedName name="Cdvdt_ext_cal1">'Calculation Sheet'!$D$65</definedName>
    <definedName name="Cext_dvdt_cal2">'Calculation Sheet'!$D$66</definedName>
    <definedName name="Cout">'Calculation Sheet'!$D$15</definedName>
    <definedName name="Gain_dVdt">'Calculation Sheet'!#REF!</definedName>
    <definedName name="GainIMON">'Calculation Sheet'!$D$109</definedName>
    <definedName name="I_dVdt">'Calculation Sheet'!$D$60</definedName>
    <definedName name="Icharge">'Calculation Sheet'!$D$69</definedName>
    <definedName name="Icharge_req">'Calculation Sheet'!$D$64</definedName>
    <definedName name="Ilimit">'Calculation Sheet'!$D$19</definedName>
    <definedName name="Ilimit_final">'Calculation Sheet'!$D$55</definedName>
    <definedName name="Imax">'Calculation Sheet'!$D$18</definedName>
    <definedName name="Min_Ilim">'[1]Calculation Sheet'!$G$39</definedName>
    <definedName name="Ncalc">'[1]Calculation Sheet'!$H$84</definedName>
    <definedName name="NRETRY">'[1]Calculation Sheet'!$D$20</definedName>
    <definedName name="OVref">'Calculation Sheet'!$D$108</definedName>
    <definedName name="OVset">'Calculation Sheet'!#REF!</definedName>
    <definedName name="PGTH">'Calculation Sheet'!$D$110</definedName>
    <definedName name="Rdson_125deg">'Calculation Sheet'!$D$101</definedName>
    <definedName name="Rdson_25deg">'Calculation Sheet'!$D$100</definedName>
    <definedName name="RILIM">'[1]Calculation Sheet'!$D$38</definedName>
    <definedName name="RILM">'Calculation Sheet'!$D$54</definedName>
    <definedName name="Rlimit">'Calculation Sheet'!#REF!</definedName>
    <definedName name="Rlstart">'Calculation Sheet'!$D$16</definedName>
    <definedName name="RMON_sel">'[1]Calculation Sheet'!$D$44</definedName>
    <definedName name="RpUVLO">'Calculation Sheet'!#REF!</definedName>
    <definedName name="Tchg_dvdt">'Calculation Sheet'!$D$71</definedName>
    <definedName name="Tchg_fastest">'Calculation Sheet'!$D$62</definedName>
    <definedName name="Tchg_req">'Calculation Sheet'!$D$63</definedName>
    <definedName name="tITIMER">'[1]Calculation Sheet'!$D$17</definedName>
    <definedName name="tLDSTRT">'[1]Calculation Sheet'!$D$22</definedName>
    <definedName name="tRETRY_DLY">'[1]Calculation Sheet'!$D$19</definedName>
    <definedName name="UVref">'Calculation Sheet'!$D$107</definedName>
    <definedName name="Uvref_fall">'Calculation Sheet'!$D$122</definedName>
    <definedName name="Uvref_rise">'Calculation Sheet'!$D$121</definedName>
    <definedName name="UVset">'Calculation Sheet'!$D$8</definedName>
    <definedName name="Vcc_max">'Calculation Sheet'!$D$11</definedName>
    <definedName name="Vcc_nom">'Calculation Sheet'!$D$6</definedName>
    <definedName name="Vimon_max">'[1]Calculation Sheet'!$D$24</definedName>
    <definedName name="VUVP">'Calculation Sheet'!$D$14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9" i="1" l="1"/>
  <c r="D87" i="1"/>
  <c r="F71" i="1" l="1"/>
  <c r="F69" i="1" s="1"/>
  <c r="F55" i="1" l="1"/>
  <c r="F56" i="1" s="1"/>
  <c r="D28" i="1"/>
  <c r="D30" i="1" s="1"/>
  <c r="L55" i="1" s="1"/>
  <c r="L56" i="1" s="1"/>
  <c r="G35" i="1" s="1"/>
  <c r="D32" i="1" s="1"/>
  <c r="F32" i="1"/>
  <c r="F34" i="1" s="1"/>
  <c r="D24" i="1"/>
  <c r="D25" i="1" l="1"/>
  <c r="K34" i="1"/>
  <c r="F33" i="1"/>
  <c r="D35" i="1"/>
  <c r="D33" i="1"/>
  <c r="K33" i="1" s="1"/>
  <c r="D34" i="1"/>
  <c r="K32" i="1" s="1"/>
  <c r="D91" i="1" l="1"/>
  <c r="D52" i="1" l="1"/>
  <c r="L57" i="1" s="1"/>
  <c r="L58" i="1" s="1"/>
  <c r="G72" i="1" s="1"/>
  <c r="D54" i="1" s="1"/>
  <c r="D75" i="1" l="1"/>
  <c r="Y99" i="1" l="1"/>
  <c r="F48" i="1" l="1"/>
  <c r="F47" i="1"/>
  <c r="D86"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62" i="1" l="1"/>
  <c r="F21" i="15" l="1"/>
  <c r="F20" i="15"/>
  <c r="F19" i="15"/>
  <c r="F18" i="15"/>
  <c r="F17" i="15"/>
  <c r="F16" i="15"/>
  <c r="F15" i="15"/>
  <c r="F14" i="15"/>
  <c r="F13" i="15"/>
  <c r="F12" i="15"/>
  <c r="F11" i="15"/>
  <c r="F10" i="15"/>
  <c r="F9" i="15"/>
  <c r="F8" i="15"/>
  <c r="F7" i="15"/>
  <c r="F6" i="15"/>
  <c r="F5" i="15"/>
  <c r="F4" i="15"/>
  <c r="G3" i="15"/>
  <c r="F3" i="15"/>
  <c r="G2" i="15"/>
  <c r="F2" i="15"/>
  <c r="D66" i="1" l="1"/>
  <c r="D65" i="1"/>
  <c r="D61" i="1"/>
  <c r="G85" i="1" l="1"/>
  <c r="D44" i="1"/>
  <c r="L53" i="1" s="1"/>
  <c r="L54" i="1" s="1"/>
  <c r="D46" i="1" l="1"/>
  <c r="D49" i="1" s="1"/>
  <c r="G19" i="1"/>
  <c r="D47" i="1" l="1"/>
  <c r="D48" i="1"/>
  <c r="G49" i="1" l="1"/>
  <c r="G48" i="1" l="1"/>
  <c r="B74" i="13" l="1"/>
  <c r="B73" i="13"/>
  <c r="B71" i="13"/>
  <c r="B70" i="13"/>
  <c r="B69" i="13" s="1"/>
  <c r="B67" i="13"/>
  <c r="B66" i="13"/>
  <c r="B65" i="13" s="1"/>
  <c r="B63" i="13"/>
  <c r="B62" i="13"/>
  <c r="B61" i="13" s="1"/>
  <c r="B59" i="13"/>
  <c r="B58" i="13" s="1"/>
  <c r="B57" i="13" s="1"/>
  <c r="B55" i="13"/>
  <c r="B54" i="13"/>
  <c r="B53" i="13" s="1"/>
  <c r="B51" i="13"/>
  <c r="B50" i="13" s="1"/>
  <c r="B49" i="13" s="1"/>
  <c r="B47" i="13"/>
  <c r="B46" i="13"/>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c r="C57" i="13" s="1"/>
  <c r="C55" i="13"/>
  <c r="C54" i="13"/>
  <c r="C53" i="13"/>
  <c r="C51" i="13"/>
  <c r="C50" i="13" s="1"/>
  <c r="C49" i="13" s="1"/>
  <c r="C47" i="13"/>
  <c r="C46" i="13" s="1"/>
  <c r="C45" i="13" s="1"/>
  <c r="C43" i="13"/>
  <c r="C42" i="13" s="1"/>
  <c r="C41" i="13" s="1"/>
  <c r="C39" i="13"/>
  <c r="C38" i="13" s="1"/>
  <c r="C37" i="13" s="1"/>
  <c r="C35" i="13"/>
  <c r="C34" i="13"/>
  <c r="C33" i="13" s="1"/>
  <c r="C31" i="13"/>
  <c r="C30" i="13" s="1"/>
  <c r="C29" i="13" s="1"/>
  <c r="C27" i="13"/>
  <c r="C26" i="13" s="1"/>
  <c r="C25" i="13" s="1"/>
  <c r="C23" i="13"/>
  <c r="C22" i="13" s="1"/>
  <c r="C21" i="13" s="1"/>
  <c r="C19" i="13"/>
  <c r="C18" i="13" s="1"/>
  <c r="C17" i="13" s="1"/>
  <c r="G110" i="1" l="1"/>
  <c r="D92" i="1" s="1"/>
  <c r="D93" i="1" s="1"/>
  <c r="G87" i="1"/>
  <c r="D68" i="1" s="1"/>
  <c r="D69" i="1" s="1"/>
  <c r="D55" i="1"/>
  <c r="K51" i="1" s="1"/>
  <c r="K50" i="1" l="1"/>
  <c r="Y98" i="1"/>
  <c r="Y100" i="1" s="1"/>
  <c r="D72" i="1"/>
  <c r="D56" i="1"/>
  <c r="D70" i="1"/>
  <c r="G88" i="1"/>
  <c r="U86" i="1" l="1"/>
  <c r="D76" i="1"/>
  <c r="D71" i="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77" i="1" s="1"/>
  <c r="D7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29" authorId="1" shapeId="0" xr:uid="{527D81B3-8102-452A-A2D7-DAEA8A6F0F53}">
      <text>
        <r>
          <rPr>
            <sz val="9"/>
            <color indexed="81"/>
            <rFont val="Tahoma"/>
            <family val="2"/>
          </rPr>
          <t>Higher value will limit the input current drawn from source</t>
        </r>
      </text>
    </comment>
    <comment ref="D29"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43"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charset val="1"/>
          </rPr>
          <t>kunalgoel:</t>
        </r>
        <r>
          <rPr>
            <sz val="9"/>
            <color indexed="81"/>
            <rFont val="Tahoma"/>
            <charset val="1"/>
          </rPr>
          <t xml:space="preserve">
85c</t>
        </r>
      </text>
    </comment>
    <comment ref="AF96" authorId="0" shapeId="0" xr:uid="{4A632067-EE66-448B-B2D2-A07A9B014340}">
      <text>
        <r>
          <rPr>
            <b/>
            <sz val="9"/>
            <color indexed="81"/>
            <rFont val="Tahoma"/>
            <charset val="1"/>
          </rPr>
          <t>kunalgoel:</t>
        </r>
        <r>
          <rPr>
            <sz val="9"/>
            <color indexed="81"/>
            <rFont val="Tahoma"/>
            <charset val="1"/>
          </rPr>
          <t xml:space="preserve">
25c</t>
        </r>
      </text>
    </comment>
    <comment ref="AL96" authorId="0" shapeId="0" xr:uid="{B77BB7D7-EE09-40CC-8EF8-1F089C3E4374}">
      <text>
        <r>
          <rPr>
            <b/>
            <sz val="9"/>
            <color indexed="81"/>
            <rFont val="Tahoma"/>
            <charset val="1"/>
          </rPr>
          <t>kunalgoel:</t>
        </r>
        <r>
          <rPr>
            <sz val="9"/>
            <color indexed="81"/>
            <rFont val="Tahoma"/>
            <charset val="1"/>
          </rPr>
          <t xml:space="preserve">
125c
</t>
        </r>
      </text>
    </comment>
    <comment ref="AA97" authorId="0" shapeId="0" xr:uid="{B4D75FB7-6D1B-470E-B8D4-22DC2B43B086}">
      <text>
        <r>
          <rPr>
            <b/>
            <sz val="9"/>
            <color indexed="81"/>
            <rFont val="Tahoma"/>
            <charset val="1"/>
          </rPr>
          <t>kunalgoel:</t>
        </r>
        <r>
          <rPr>
            <sz val="9"/>
            <color indexed="81"/>
            <rFont val="Tahoma"/>
            <charset val="1"/>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charset val="1"/>
          </rPr>
          <t>kunalgoel:</t>
        </r>
        <r>
          <rPr>
            <sz val="9"/>
            <color indexed="81"/>
            <rFont val="Tahoma"/>
            <charset val="1"/>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charset val="1"/>
          </rPr>
          <t>kunalgoel:</t>
        </r>
        <r>
          <rPr>
            <sz val="9"/>
            <color indexed="81"/>
            <rFont val="Tahoma"/>
            <charset val="1"/>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<sst xmlns="http://schemas.openxmlformats.org/spreadsheetml/2006/main" count="286" uniqueCount="214">
  <si>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</si>
  <si>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</si>
  <si>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</si>
  <si>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</si>
  <si>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</si>
  <si>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</si>
  <si>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</si>
  <si>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</si>
  <si>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</si>
  <si>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</si>
  <si>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</si>
  <si>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</si>
  <si>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</si>
  <si>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</si>
  <si>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</si>
  <si>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</si>
  <si>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</si>
  <si>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</si>
  <si>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</si>
  <si>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</si>
  <si>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</si>
  <si>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</si>
  <si>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</si>
  <si>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</si>
  <si>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</si>
  <si>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</si>
  <si>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</si>
  <si>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</si>
  <si>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</si>
  <si>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</si>
  <si>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</si>
  <si>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</si>
  <si>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</si>
  <si>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</si>
  <si>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</si>
  <si>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</si>
  <si>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</si>
  <si>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</si>
  <si>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</si>
  <si>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</si>
  <si>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</si>
  <si>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</si>
  <si>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</si>
  <si>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</si>
  <si>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</si>
  <si>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</si>
  <si>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</si>
  <si>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</si>
  <si>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</si>
  <si>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</si>
  <si>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</si>
  <si>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</si>
  <si>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</si>
  <si>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</si>
  <si>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</si>
  <si>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</si>
  <si>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</si>
  <si>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</si>
  <si>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</si>
  <si>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</si>
  <si>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</si>
  <si>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</si>
  <si>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</si>
  <si>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</si>
  <si>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</si>
  <si>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</si>
  <si>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</si>
  <si>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</si>
  <si>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</si>
  <si>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</si>
  <si>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</si>
  <si>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</si>
  <si>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</si>
  <si>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</si>
  <si>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</si>
  <si>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</si>
  <si>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</si>
  <si>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</si>
  <si>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</si>
  <si>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</si>
  <si>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</si>
  <si>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</si>
  <si>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</si>
  <si>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</si>
  <si>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</si>
  <si>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</si>
  <si>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</si>
  <si>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</si>
  <si>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</si>
  <si>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</si>
  <si>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</si>
  <si>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</si>
  <si>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Internal Overvoltage reference (Rising)</t>
  </si>
  <si>
    <t>Internal Undervoltage reference (Falling)</t>
  </si>
  <si>
    <t>UV_final_rising</t>
  </si>
  <si>
    <t>UV_final_falling</t>
  </si>
  <si>
    <t>Undervoltage Threshold (VIN Falling)</t>
  </si>
  <si>
    <t>Maximum Operating input voltage (magnitude)</t>
  </si>
  <si>
    <t>Desired Undervoltage Threshold (VIN Rising)</t>
  </si>
  <si>
    <t>R2+R3</t>
  </si>
  <si>
    <t>Undervoltage Threshold (VIN Rising)</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</si>
  <si>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</si>
  <si>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</si>
  <si>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</si>
  <si>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</si>
  <si>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</si>
  <si>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</si>
  <si>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</si>
  <si>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</si>
  <si>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</si>
  <si>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</si>
  <si>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</si>
  <si>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</si>
  <si>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</si>
  <si>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</si>
  <si>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</si>
  <si>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</si>
  <si>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</si>
  <si>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</si>
  <si>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</si>
  <si>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</si>
  <si>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</si>
  <si>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</si>
  <si>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</si>
  <si>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</si>
  <si>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</si>
  <si>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</si>
  <si>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</si>
  <si>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</si>
  <si>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</si>
  <si>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</si>
  <si>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</si>
  <si>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</si>
  <si>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</si>
  <si>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</si>
  <si>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</si>
  <si>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</si>
  <si>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</si>
  <si>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</si>
  <si>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</si>
  <si>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</si>
  <si>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</si>
  <si>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TSD Time(in milliseconds)</t>
  </si>
  <si>
    <t>Temperature(Degree C)</t>
  </si>
  <si>
    <t>actual total energy for time tdvdt</t>
  </si>
  <si>
    <t>time to tsd*power</t>
  </si>
  <si>
    <t>SELECT THE VALUE OF RESISTOR AS CLOSEST AVAILABLE VALUE OF R5</t>
  </si>
  <si>
    <t>actual energy for time vds&gt;5.6</t>
  </si>
  <si>
    <t>For CdVdt &gt; 10 nF, it's recommended to add a 100-Ω resistor in series with the capacitor on the dVdt pin</t>
  </si>
  <si>
    <t>Table - 1: Device Comparison Table</t>
  </si>
  <si>
    <t>Part number</t>
  </si>
  <si>
    <t>Overvoltage Response</t>
  </si>
  <si>
    <t>Response to Thermal Shutdown (TSD)</t>
  </si>
  <si>
    <t>Latch-off</t>
  </si>
  <si>
    <t>Overcurrent response</t>
  </si>
  <si>
    <t>AUXOFF or PG</t>
  </si>
  <si>
    <t>FLT or PGTH</t>
  </si>
  <si>
    <t>Active Current Limit</t>
  </si>
  <si>
    <t>PG</t>
  </si>
  <si>
    <t>Auto-Retry</t>
  </si>
  <si>
    <t>Select Device</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</si>
  <si>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</si>
  <si>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</si>
  <si>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</si>
  <si>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</si>
  <si>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</si>
  <si>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</si>
  <si>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</si>
  <si>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</si>
  <si>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</si>
  <si>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</si>
  <si>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</si>
  <si>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</si>
  <si>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</si>
  <si>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</si>
  <si>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</si>
  <si>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</si>
  <si>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</si>
  <si>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</si>
  <si>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t>I_R12</t>
  </si>
  <si>
    <t>R1: Pullup at EN/UVLO Pin</t>
  </si>
  <si>
    <t>Calculated value of Resistor at EN/UVLO pin</t>
  </si>
  <si>
    <t>SELECT THE VALUE OF RESISTORS AS CLOSEST AVAILABLE VALUE OF R2</t>
  </si>
  <si>
    <t>Current in R1, R2 Branch</t>
  </si>
  <si>
    <t>Value &gt; 350k recommended</t>
  </si>
  <si>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</si>
  <si>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</si>
  <si>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</si>
  <si>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</si>
  <si>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</si>
  <si>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</si>
  <si>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</si>
  <si>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</si>
  <si>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</si>
  <si>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</si>
  <si>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</si>
  <si>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</si>
  <si>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</si>
  <si>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Isc</t>
  </si>
  <si>
    <t>Scalable fast  trip threshold</t>
  </si>
  <si>
    <t>Select  Closest value as CITIMER_cal</t>
  </si>
  <si>
    <t>TPS25210x Design Calculation Tool</t>
  </si>
  <si>
    <t>TPS25210A</t>
  </si>
  <si>
    <t>Pin Selectable OVC(3.8 V/5.7 V)</t>
  </si>
  <si>
    <t>TPS25210L</t>
  </si>
  <si>
    <t>Pin Selectable OVC (3.8 V/5.7 V )</t>
  </si>
  <si>
    <t>Will the system have glitch-free startup?</t>
  </si>
  <si>
    <t>Maximum Recommended Input voltage</t>
  </si>
  <si>
    <t xml:space="preserve">OVC set point calculations </t>
  </si>
  <si>
    <t xml:space="preserve">UVLO set point calculations </t>
  </si>
  <si>
    <t>PGset point calculations</t>
  </si>
  <si>
    <t>Refer to Table-1 on top right side  and select based on Latch-off/Auto-retry requirement</t>
  </si>
  <si>
    <t>Overload Current
Limit</t>
  </si>
  <si>
    <t>Uvref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</si>
</sst>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40"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
      <sz val="11"/>
      <color rgb="FFFF0000"/>
      <name val="Calibri"/>
      <family val="2"/>
      <scheme val="minor"/>
    </font>
    <font>
      <b/>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98">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Font="1" applyFill="1" applyAlignment="1" applyProtection="1">
      <alignment vertical="center"/>
    </xf>
    <xf numFmtId="2" fontId="0" fillId="0" borderId="0" xfId="0" applyNumberFormat="1" applyFont="1" applyAlignment="1" applyProtection="1">
      <alignment horizontal="right" vertical="center" indent="1"/>
    </xf>
    <xf numFmtId="0" fontId="0" fillId="0" borderId="0" xfId="0" applyFont="1" applyAlignment="1" applyProtection="1">
      <alignment vertical="center"/>
    </xf>
    <xf numFmtId="0" fontId="0" fillId="0" borderId="0" xfId="0" applyFont="1" applyAlignment="1" applyProtection="1">
      <alignment horizontal="center" vertical="center"/>
    </xf>
    <xf numFmtId="2" fontId="4" fillId="7" borderId="1" xfId="0" applyNumberFormat="1" applyFont="1" applyFill="1" applyBorder="1" applyAlignment="1" applyProtection="1">
      <alignment vertical="center"/>
    </xf>
    <xf numFmtId="0" fontId="0" fillId="14" borderId="1" xfId="0" applyFont="1" applyFill="1" applyBorder="1" applyAlignment="1" applyProtection="1">
      <alignment vertical="center"/>
    </xf>
    <xf numFmtId="0" fontId="16" fillId="14" borderId="1" xfId="0" applyFont="1" applyFill="1" applyBorder="1" applyAlignment="1" applyProtection="1">
      <alignment horizontal="left" vertical="center"/>
    </xf>
    <xf numFmtId="0" fontId="4" fillId="0" borderId="0" xfId="0" applyFont="1" applyAlignment="1" applyProtection="1">
      <alignment vertical="center"/>
    </xf>
    <xf numFmtId="0" fontId="0" fillId="0" borderId="0" xfId="0" applyFont="1" applyAlignment="1" applyProtection="1">
      <alignment horizontal="left" vertical="center"/>
    </xf>
    <xf numFmtId="2" fontId="0" fillId="0" borderId="0" xfId="0" applyNumberFormat="1" applyFont="1" applyAlignment="1" applyProtection="1">
      <alignment vertical="center"/>
    </xf>
    <xf numFmtId="0" fontId="0" fillId="0" borderId="0" xfId="0" applyFont="1" applyFill="1" applyAlignment="1" applyProtection="1">
      <alignment horizontal="center" vertical="center"/>
    </xf>
    <xf numFmtId="0" fontId="3" fillId="14" borderId="1" xfId="0" applyFont="1" applyFill="1" applyBorder="1" applyAlignment="1" applyProtection="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pplyProtection="1">
      <alignment horizontal="center" vertical="center"/>
    </xf>
    <xf numFmtId="2" fontId="16" fillId="3" borderId="1" xfId="0" applyNumberFormat="1" applyFont="1" applyFill="1" applyBorder="1" applyAlignment="1" applyProtection="1">
      <alignment horizontal="center" vertical="center"/>
    </xf>
    <xf numFmtId="0" fontId="21" fillId="0" borderId="0" xfId="0" applyFont="1" applyAlignment="1" applyProtection="1">
      <alignment vertical="center"/>
    </xf>
    <xf numFmtId="0" fontId="0" fillId="16" borderId="1" xfId="0" applyFont="1" applyFill="1" applyBorder="1" applyAlignment="1" applyProtection="1">
      <alignment vertical="center" wrapText="1"/>
    </xf>
    <xf numFmtId="0" fontId="0" fillId="0" borderId="0" xfId="0" applyFont="1" applyAlignment="1" applyProtection="1">
      <alignment vertical="center" wrapText="1"/>
    </xf>
    <xf numFmtId="0" fontId="0" fillId="15" borderId="1" xfId="0" applyFont="1" applyFill="1" applyBorder="1" applyAlignment="1" applyProtection="1">
      <alignment vertical="center" wrapText="1"/>
    </xf>
    <xf numFmtId="0" fontId="4" fillId="0" borderId="0" xfId="0" applyFont="1" applyAlignment="1" applyProtection="1">
      <alignment vertical="center" wrapText="1"/>
    </xf>
    <xf numFmtId="0" fontId="16" fillId="3" borderId="1" xfId="0" applyFont="1" applyFill="1" applyBorder="1" applyAlignment="1" applyProtection="1">
      <alignment horizontal="center" vertical="center" wrapText="1"/>
    </xf>
    <xf numFmtId="2" fontId="0" fillId="0" borderId="1" xfId="0" applyNumberFormat="1" applyBorder="1" applyAlignment="1">
      <alignment horizontal="center"/>
    </xf>
    <xf numFmtId="2" fontId="4" fillId="22" borderId="0" xfId="0" applyNumberFormat="1" applyFont="1" applyFill="1" applyBorder="1" applyAlignment="1" applyProtection="1">
      <alignment vertical="center"/>
    </xf>
    <xf numFmtId="0" fontId="26" fillId="23" borderId="0" xfId="4" applyFill="1" applyBorder="1" applyAlignment="1" applyProtection="1">
      <alignment vertical="center"/>
    </xf>
    <xf numFmtId="0" fontId="0" fillId="25" borderId="0" xfId="0" applyFont="1" applyFill="1" applyBorder="1" applyAlignment="1" applyProtection="1">
      <alignment vertical="center" wrapText="1"/>
    </xf>
    <xf numFmtId="2" fontId="0" fillId="22" borderId="0" xfId="0" applyNumberFormat="1" applyFont="1" applyFill="1" applyBorder="1" applyAlignment="1" applyProtection="1">
      <alignment horizontal="right" vertical="center" indent="1"/>
    </xf>
    <xf numFmtId="0" fontId="0" fillId="22" borderId="0" xfId="0" applyFont="1" applyFill="1" applyBorder="1" applyAlignment="1" applyProtection="1">
      <alignment vertical="center"/>
    </xf>
    <xf numFmtId="0" fontId="0" fillId="22" borderId="0" xfId="0" applyFont="1" applyFill="1" applyBorder="1" applyAlignment="1" applyProtection="1">
      <alignment horizontal="center" vertical="center"/>
    </xf>
    <xf numFmtId="0" fontId="0" fillId="14" borderId="9" xfId="0" applyFont="1" applyFill="1" applyBorder="1" applyAlignment="1" applyProtection="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Font="1" applyFill="1" applyBorder="1" applyAlignment="1" applyProtection="1">
      <alignment vertical="center"/>
    </xf>
    <xf numFmtId="0" fontId="0" fillId="0" borderId="1" xfId="0" applyFont="1" applyFill="1" applyBorder="1" applyAlignment="1" applyProtection="1">
      <alignment vertical="center" wrapText="1"/>
    </xf>
    <xf numFmtId="0" fontId="28" fillId="0" borderId="0" xfId="0" applyFont="1" applyFill="1" applyBorder="1" applyAlignment="1" applyProtection="1">
      <alignment horizontal="left" vertical="center"/>
    </xf>
    <xf numFmtId="2" fontId="4"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0" fontId="0" fillId="0" borderId="0" xfId="0" applyFont="1" applyFill="1" applyBorder="1" applyAlignment="1" applyProtection="1">
      <alignment horizontal="center" vertical="center"/>
    </xf>
    <xf numFmtId="2" fontId="0" fillId="0" borderId="0" xfId="0" applyNumberFormat="1" applyFont="1" applyFill="1" applyBorder="1" applyAlignment="1" applyProtection="1">
      <alignment horizontal="right" vertical="center" indent="1"/>
    </xf>
    <xf numFmtId="2" fontId="4" fillId="0" borderId="1" xfId="0" applyNumberFormat="1" applyFont="1" applyFill="1" applyBorder="1" applyAlignment="1" applyProtection="1">
      <alignment horizontal="left" vertical="center"/>
    </xf>
    <xf numFmtId="2" fontId="4" fillId="0" borderId="1" xfId="0" applyNumberFormat="1" applyFont="1" applyFill="1" applyBorder="1" applyAlignment="1" applyProtection="1">
      <alignment vertical="center"/>
    </xf>
    <xf numFmtId="0" fontId="26" fillId="0" borderId="1" xfId="4" applyFill="1" applyBorder="1" applyAlignment="1" applyProtection="1">
      <alignment vertical="center"/>
    </xf>
    <xf numFmtId="0" fontId="0" fillId="0" borderId="8" xfId="0" applyFont="1" applyFill="1" applyBorder="1" applyAlignment="1" applyProtection="1">
      <alignment vertical="center"/>
    </xf>
    <xf numFmtId="0" fontId="0" fillId="0" borderId="9" xfId="0" applyFont="1" applyFill="1" applyBorder="1" applyAlignment="1" applyProtection="1">
      <alignment vertical="center" wrapText="1"/>
    </xf>
    <xf numFmtId="0" fontId="0" fillId="0" borderId="6" xfId="0" applyFont="1" applyFill="1" applyBorder="1" applyAlignment="1" applyProtection="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pplyProtection="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pplyProtection="1">
      <alignment horizontal="center" vertical="center"/>
    </xf>
    <xf numFmtId="0" fontId="30" fillId="17" borderId="14" xfId="0" applyFont="1" applyFill="1" applyBorder="1" applyAlignment="1" applyProtection="1">
      <alignment horizontal="center" vertical="center" wrapText="1"/>
    </xf>
    <xf numFmtId="0" fontId="30" fillId="17" borderId="15" xfId="0" applyFont="1" applyFill="1" applyBorder="1" applyAlignment="1" applyProtection="1">
      <alignment horizontal="center" vertical="center"/>
    </xf>
    <xf numFmtId="0" fontId="16" fillId="14" borderId="6" xfId="0" applyFont="1" applyFill="1" applyBorder="1" applyAlignment="1" applyProtection="1">
      <alignment horizontal="left" vertical="center"/>
    </xf>
    <xf numFmtId="0" fontId="15" fillId="17" borderId="15" xfId="0" applyFont="1" applyFill="1" applyBorder="1" applyAlignment="1" applyProtection="1">
      <alignment horizontal="center" vertical="center" wrapText="1"/>
    </xf>
    <xf numFmtId="0" fontId="0" fillId="14" borderId="9" xfId="0" applyFont="1" applyFill="1" applyBorder="1" applyAlignment="1" applyProtection="1">
      <alignment vertical="center"/>
    </xf>
    <xf numFmtId="0" fontId="8" fillId="5" borderId="12" xfId="0" applyFont="1" applyFill="1" applyBorder="1" applyAlignment="1" applyProtection="1">
      <alignment horizontal="center" vertical="center"/>
    </xf>
    <xf numFmtId="0" fontId="8" fillId="5" borderId="6" xfId="0" applyFont="1" applyFill="1" applyBorder="1" applyAlignment="1" applyProtection="1">
      <alignment horizontal="center" vertical="center" wrapText="1"/>
    </xf>
    <xf numFmtId="2" fontId="8" fillId="5" borderId="6" xfId="0" applyNumberFormat="1" applyFont="1" applyFill="1" applyBorder="1" applyAlignment="1" applyProtection="1">
      <alignment horizontal="right" vertical="center" indent="1"/>
    </xf>
    <xf numFmtId="0" fontId="8" fillId="5" borderId="6" xfId="0" applyFont="1" applyFill="1" applyBorder="1" applyAlignment="1" applyProtection="1">
      <alignment horizontal="left" vertical="center"/>
    </xf>
    <xf numFmtId="0" fontId="8" fillId="5" borderId="7" xfId="0" applyFont="1" applyFill="1" applyBorder="1" applyAlignment="1" applyProtection="1">
      <alignment horizontal="center" vertical="center"/>
    </xf>
    <xf numFmtId="2" fontId="29" fillId="0" borderId="0" xfId="0" applyNumberFormat="1" applyFont="1" applyFill="1" applyBorder="1" applyAlignment="1" applyProtection="1">
      <alignment vertical="center"/>
    </xf>
    <xf numFmtId="0" fontId="0" fillId="0" borderId="5" xfId="0" applyFont="1" applyFill="1" applyBorder="1" applyAlignment="1" applyProtection="1">
      <alignment horizontal="left" vertical="center"/>
    </xf>
    <xf numFmtId="0" fontId="0" fillId="0" borderId="8" xfId="0" applyFont="1" applyFill="1" applyBorder="1" applyAlignment="1" applyProtection="1">
      <alignment horizontal="left" vertical="center"/>
    </xf>
    <xf numFmtId="0" fontId="0" fillId="0" borderId="1" xfId="0" applyFont="1" applyFill="1" applyBorder="1" applyAlignment="1" applyProtection="1">
      <alignment horizontal="left" vertical="center" wrapText="1"/>
    </xf>
    <xf numFmtId="0" fontId="0" fillId="0" borderId="9" xfId="0" applyFont="1" applyFill="1" applyBorder="1" applyAlignment="1" applyProtection="1">
      <alignment horizontal="left" vertical="center" wrapText="1"/>
    </xf>
    <xf numFmtId="164" fontId="16" fillId="4" borderId="1" xfId="0" applyNumberFormat="1" applyFont="1" applyFill="1" applyBorder="1" applyAlignment="1" applyProtection="1">
      <alignment vertical="center"/>
    </xf>
    <xf numFmtId="2" fontId="16" fillId="4" borderId="1" xfId="0" applyNumberFormat="1" applyFont="1" applyFill="1" applyBorder="1" applyAlignment="1" applyProtection="1">
      <alignment vertical="center"/>
    </xf>
    <xf numFmtId="2" fontId="16" fillId="4" borderId="9" xfId="0" applyNumberFormat="1" applyFont="1" applyFill="1" applyBorder="1" applyAlignment="1" applyProtection="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pplyProtection="1">
      <alignment horizontal="left" vertical="center"/>
    </xf>
    <xf numFmtId="2" fontId="16" fillId="6" borderId="1" xfId="0" applyNumberFormat="1" applyFont="1" applyFill="1" applyBorder="1" applyAlignment="1" applyProtection="1">
      <alignment horizontal="right" vertical="center"/>
    </xf>
    <xf numFmtId="2" fontId="16" fillId="6" borderId="6" xfId="0" applyNumberFormat="1" applyFont="1" applyFill="1" applyBorder="1" applyAlignment="1" applyProtection="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center"/>
    </xf>
    <xf numFmtId="164" fontId="14" fillId="6" borderId="1" xfId="0" applyNumberFormat="1" applyFont="1" applyFill="1" applyBorder="1" applyAlignment="1" applyProtection="1">
      <alignment vertical="center"/>
    </xf>
    <xf numFmtId="2" fontId="14" fillId="6" borderId="1" xfId="0" applyNumberFormat="1" applyFont="1" applyFill="1" applyBorder="1" applyAlignment="1" applyProtection="1">
      <alignment vertical="center"/>
    </xf>
    <xf numFmtId="2" fontId="18" fillId="0" borderId="0" xfId="0" applyNumberFormat="1" applyFont="1" applyFill="1" applyBorder="1" applyAlignment="1" applyProtection="1">
      <alignment vertical="center"/>
    </xf>
    <xf numFmtId="2" fontId="30" fillId="17" borderId="14" xfId="0" applyNumberFormat="1" applyFont="1" applyFill="1" applyBorder="1" applyAlignment="1" applyProtection="1">
      <alignment horizontal="center" vertical="center"/>
    </xf>
    <xf numFmtId="0" fontId="30" fillId="17" borderId="14" xfId="0" applyFont="1" applyFill="1" applyBorder="1" applyAlignment="1" applyProtection="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0" fillId="0" borderId="0" xfId="0" applyFont="1" applyBorder="1" applyAlignment="1" applyProtection="1">
      <alignment vertical="center"/>
    </xf>
    <xf numFmtId="0" fontId="27" fillId="24" borderId="0" xfId="0" applyFont="1" applyFill="1" applyBorder="1" applyAlignment="1" applyProtection="1">
      <alignment horizontal="center" wrapText="1"/>
    </xf>
    <xf numFmtId="0" fontId="1" fillId="0" borderId="0" xfId="0" applyFont="1" applyBorder="1" applyAlignment="1" applyProtection="1">
      <alignment horizontal="center" vertical="center"/>
    </xf>
    <xf numFmtId="0" fontId="0" fillId="21" borderId="0" xfId="0" applyFont="1" applyFill="1" applyBorder="1" applyAlignment="1" applyProtection="1">
      <alignment horizontal="center"/>
    </xf>
    <xf numFmtId="0" fontId="1" fillId="0" borderId="0" xfId="0" applyFont="1" applyFill="1" applyBorder="1" applyAlignment="1" applyProtection="1">
      <alignment horizontal="center" vertical="center"/>
    </xf>
    <xf numFmtId="0" fontId="0" fillId="0" borderId="0" xfId="0" applyFont="1" applyBorder="1" applyAlignment="1" applyProtection="1">
      <alignment horizontal="center" vertical="center"/>
    </xf>
    <xf numFmtId="0" fontId="0" fillId="22" borderId="0" xfId="0" applyFont="1" applyFill="1" applyBorder="1" applyAlignment="1" applyProtection="1">
      <alignment horizontal="center"/>
    </xf>
    <xf numFmtId="0" fontId="25" fillId="23" borderId="0" xfId="3" applyFill="1" applyBorder="1" applyAlignment="1" applyProtection="1">
      <alignment horizontal="center"/>
    </xf>
    <xf numFmtId="0" fontId="1" fillId="22" borderId="0" xfId="0" applyFont="1" applyFill="1" applyBorder="1" applyAlignment="1" applyProtection="1">
      <alignment horizontal="center"/>
    </xf>
    <xf numFmtId="0" fontId="1" fillId="21" borderId="0" xfId="0" applyFont="1" applyFill="1" applyBorder="1" applyAlignment="1" applyProtection="1">
      <alignment horizontal="center"/>
    </xf>
    <xf numFmtId="0" fontId="0" fillId="21" borderId="0" xfId="0" applyFont="1" applyFill="1" applyBorder="1" applyAlignment="1" applyProtection="1">
      <alignment horizontal="center" vertical="center"/>
    </xf>
    <xf numFmtId="0" fontId="25" fillId="23" borderId="0" xfId="3" applyFont="1" applyFill="1" applyBorder="1" applyAlignment="1" applyProtection="1">
      <alignment horizontal="center"/>
    </xf>
    <xf numFmtId="0" fontId="0" fillId="0" borderId="0" xfId="0" applyFont="1" applyFill="1" applyAlignment="1" applyProtection="1">
      <alignment horizontal="left" vertical="center"/>
    </xf>
    <xf numFmtId="2" fontId="0" fillId="0" borderId="1" xfId="0" applyNumberFormat="1" applyFont="1" applyBorder="1" applyAlignment="1" applyProtection="1">
      <alignment horizontal="left" vertical="center"/>
    </xf>
    <xf numFmtId="2" fontId="19" fillId="0" borderId="1" xfId="0" applyNumberFormat="1" applyFont="1" applyBorder="1" applyAlignment="1" applyProtection="1">
      <alignment horizontal="left" vertical="center"/>
    </xf>
    <xf numFmtId="0" fontId="17" fillId="0" borderId="0" xfId="0" applyFont="1" applyBorder="1" applyAlignment="1" applyProtection="1">
      <alignment vertical="center"/>
    </xf>
    <xf numFmtId="0" fontId="17" fillId="0" borderId="0" xfId="0" applyFont="1" applyAlignment="1" applyProtection="1">
      <alignment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2" fontId="19" fillId="0" borderId="0" xfId="0" applyNumberFormat="1" applyFont="1" applyAlignment="1" applyProtection="1">
      <alignment vertical="center" wrapText="1"/>
    </xf>
    <xf numFmtId="0" fontId="17" fillId="0" borderId="0" xfId="0" applyFont="1" applyAlignment="1" applyProtection="1">
      <alignment horizontal="center" vertical="center"/>
    </xf>
    <xf numFmtId="0" fontId="31" fillId="0" borderId="0" xfId="0" applyFont="1" applyAlignment="1" applyProtection="1">
      <alignment vertical="center"/>
    </xf>
    <xf numFmtId="0" fontId="5" fillId="0" borderId="0" xfId="0" applyFont="1" applyAlignment="1" applyProtection="1">
      <alignment horizontal="left" vertical="center"/>
    </xf>
    <xf numFmtId="164" fontId="16" fillId="16" borderId="1" xfId="0" applyNumberFormat="1" applyFont="1" applyFill="1" applyBorder="1" applyAlignment="1" applyProtection="1">
      <alignment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xf>
    <xf numFmtId="0" fontId="8" fillId="22" borderId="0" xfId="0" applyFont="1" applyFill="1" applyBorder="1" applyAlignment="1" applyProtection="1">
      <alignment horizontal="left" vertical="center"/>
    </xf>
    <xf numFmtId="0" fontId="8" fillId="0" borderId="0" xfId="0" applyFont="1" applyBorder="1" applyAlignment="1" applyProtection="1">
      <alignment horizontal="left" vertical="center"/>
    </xf>
    <xf numFmtId="0" fontId="8" fillId="0" borderId="0" xfId="0" applyFont="1" applyFill="1" applyBorder="1" applyAlignment="1" applyProtection="1">
      <alignment horizontal="left" vertical="center"/>
    </xf>
    <xf numFmtId="0" fontId="8" fillId="0" borderId="0" xfId="0" applyFont="1" applyBorder="1" applyAlignment="1" applyProtection="1">
      <alignment horizontal="left" vertical="center"/>
      <protection hidden="1"/>
    </xf>
    <xf numFmtId="0" fontId="32" fillId="0" borderId="0" xfId="0" applyFont="1" applyBorder="1" applyAlignment="1" applyProtection="1">
      <alignment horizontal="left" vertical="center"/>
      <protection hidden="1"/>
    </xf>
    <xf numFmtId="0" fontId="33" fillId="0" borderId="0" xfId="0" applyFont="1" applyBorder="1" applyAlignment="1" applyProtection="1">
      <alignment horizontal="left" vertical="center"/>
      <protection hidden="1"/>
    </xf>
    <xf numFmtId="2" fontId="8" fillId="0" borderId="0" xfId="0" applyNumberFormat="1" applyFont="1" applyBorder="1" applyAlignment="1" applyProtection="1">
      <alignment horizontal="left" vertical="center"/>
      <protection hidden="1"/>
    </xf>
    <xf numFmtId="0" fontId="8" fillId="0" borderId="0" xfId="0" applyFont="1" applyFill="1" applyBorder="1" applyAlignment="1" applyProtection="1">
      <alignment horizontal="left" vertical="center"/>
      <protection hidden="1"/>
    </xf>
    <xf numFmtId="2" fontId="27" fillId="0" borderId="0" xfId="0" applyNumberFormat="1" applyFont="1" applyFill="1" applyBorder="1" applyAlignment="1" applyProtection="1">
      <alignment horizontal="left" vertical="center"/>
      <protection hidden="1"/>
    </xf>
    <xf numFmtId="2" fontId="30" fillId="17" borderId="20" xfId="0" applyNumberFormat="1" applyFont="1" applyFill="1" applyBorder="1" applyAlignment="1" applyProtection="1">
      <alignment horizontal="center" vertical="top" wrapText="1"/>
    </xf>
    <xf numFmtId="164" fontId="0" fillId="4" borderId="0" xfId="0" applyNumberFormat="1" applyFont="1" applyFill="1" applyBorder="1" applyAlignment="1" applyProtection="1">
      <alignment horizontal="left" vertical="center"/>
    </xf>
    <xf numFmtId="0" fontId="0" fillId="0" borderId="12" xfId="0" applyFont="1" applyFill="1" applyBorder="1" applyAlignment="1" applyProtection="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pplyProtection="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ont="1" applyFill="1" applyBorder="1" applyAlignment="1" applyProtection="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pplyProtection="1">
      <alignment horizontal="right" vertical="center"/>
    </xf>
    <xf numFmtId="2" fontId="14" fillId="4" borderId="6" xfId="0" applyNumberFormat="1" applyFont="1" applyFill="1" applyBorder="1" applyAlignment="1" applyProtection="1">
      <alignment vertical="center"/>
    </xf>
    <xf numFmtId="2" fontId="14" fillId="4" borderId="1" xfId="0" applyNumberFormat="1" applyFont="1" applyFill="1" applyBorder="1" applyAlignment="1" applyProtection="1">
      <alignment vertical="center"/>
    </xf>
    <xf numFmtId="2" fontId="14" fillId="4" borderId="9" xfId="0" applyNumberFormat="1" applyFont="1" applyFill="1" applyBorder="1" applyAlignment="1" applyProtection="1">
      <alignment vertical="center"/>
    </xf>
    <xf numFmtId="0" fontId="0" fillId="0" borderId="0" xfId="0" applyFont="1" applyAlignment="1" applyProtection="1">
      <alignment horizontal="center" vertical="center"/>
    </xf>
    <xf numFmtId="0" fontId="0" fillId="0" borderId="1" xfId="2" applyFont="1" applyFill="1" applyBorder="1" applyAlignment="1" applyProtection="1">
      <alignment horizontal="left" vertical="center" wrapText="1"/>
    </xf>
    <xf numFmtId="0" fontId="0" fillId="0" borderId="22" xfId="0" applyFont="1" applyFill="1" applyBorder="1" applyAlignment="1" applyProtection="1">
      <alignment vertical="center"/>
    </xf>
    <xf numFmtId="0" fontId="0" fillId="0" borderId="22" xfId="0" applyFont="1" applyFill="1" applyBorder="1" applyAlignment="1" applyProtection="1">
      <alignment vertical="center" wrapText="1"/>
    </xf>
    <xf numFmtId="0" fontId="0" fillId="14" borderId="22" xfId="0" applyFont="1" applyFill="1" applyBorder="1" applyAlignment="1" applyProtection="1">
      <alignment vertical="center"/>
    </xf>
    <xf numFmtId="2" fontId="8" fillId="0" borderId="0" xfId="0" applyNumberFormat="1" applyFont="1" applyBorder="1" applyAlignment="1" applyProtection="1">
      <alignment horizontal="left" vertical="center"/>
    </xf>
    <xf numFmtId="0" fontId="0" fillId="18" borderId="0" xfId="0" applyFill="1"/>
    <xf numFmtId="0" fontId="0" fillId="26" borderId="1" xfId="0" applyFont="1" applyFill="1" applyBorder="1" applyAlignment="1" applyProtection="1">
      <alignment vertical="center"/>
    </xf>
    <xf numFmtId="0" fontId="35" fillId="26" borderId="1" xfId="0" applyFont="1" applyFill="1" applyBorder="1" applyAlignment="1" applyProtection="1">
      <alignment vertical="center" wrapText="1"/>
    </xf>
    <xf numFmtId="0" fontId="0" fillId="0" borderId="0" xfId="0" applyFill="1"/>
    <xf numFmtId="0" fontId="0" fillId="27" borderId="0" xfId="0" applyFill="1"/>
    <xf numFmtId="0" fontId="0" fillId="16" borderId="1" xfId="0" applyFont="1" applyFill="1" applyBorder="1" applyAlignment="1" applyProtection="1">
      <alignment vertical="center" wrapText="1"/>
      <protection locked="0"/>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vertical="center"/>
      <protection hidden="1"/>
    </xf>
    <xf numFmtId="0" fontId="0" fillId="22" borderId="0" xfId="0" applyFont="1" applyFill="1" applyAlignment="1" applyProtection="1">
      <alignment vertical="center"/>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Font="1" applyAlignment="1" applyProtection="1">
      <alignment vertical="center"/>
    </xf>
    <xf numFmtId="0" fontId="0" fillId="0" borderId="0" xfId="0" applyNumberFormat="1" applyFont="1" applyAlignment="1" applyProtection="1">
      <alignment vertical="center"/>
    </xf>
    <xf numFmtId="0" fontId="27" fillId="29" borderId="1" xfId="0" applyFont="1" applyFill="1" applyBorder="1" applyAlignment="1" applyProtection="1">
      <alignment horizontal="center" vertical="center" wrapText="1"/>
    </xf>
    <xf numFmtId="0" fontId="1" fillId="30" borderId="1" xfId="0" applyFont="1" applyFill="1" applyBorder="1" applyAlignment="1" applyProtection="1">
      <alignment horizontal="center" vertical="center"/>
    </xf>
    <xf numFmtId="0" fontId="0" fillId="30" borderId="1" xfId="0" applyFont="1" applyFill="1" applyBorder="1" applyAlignment="1" applyProtection="1">
      <alignment horizontal="center" vertical="center"/>
    </xf>
    <xf numFmtId="0" fontId="1" fillId="31" borderId="1" xfId="0" applyFont="1" applyFill="1" applyBorder="1" applyAlignment="1" applyProtection="1">
      <alignment horizontal="center" vertical="center"/>
    </xf>
    <xf numFmtId="0" fontId="0" fillId="31" borderId="1" xfId="0" applyFont="1" applyFill="1" applyBorder="1" applyAlignment="1" applyProtection="1">
      <alignment horizontal="center" vertical="center"/>
    </xf>
    <xf numFmtId="0" fontId="0" fillId="30" borderId="1" xfId="0" applyFont="1" applyFill="1" applyBorder="1" applyAlignment="1" applyProtection="1">
      <alignment horizontal="left" vertical="center" wrapText="1"/>
    </xf>
    <xf numFmtId="0" fontId="0" fillId="0" borderId="12" xfId="0" applyFont="1" applyFill="1" applyBorder="1" applyAlignment="1" applyProtection="1">
      <alignment horizontal="left" vertical="center"/>
    </xf>
    <xf numFmtId="0" fontId="0" fillId="0" borderId="6" xfId="0" applyFont="1" applyFill="1" applyBorder="1" applyAlignment="1" applyProtection="1">
      <alignment horizontal="left" vertical="center" wrapText="1"/>
    </xf>
    <xf numFmtId="49" fontId="39" fillId="16" borderId="6" xfId="0" applyNumberFormat="1" applyFont="1" applyFill="1" applyBorder="1" applyAlignment="1" applyProtection="1">
      <alignment vertical="center"/>
      <protection locked="0"/>
    </xf>
    <xf numFmtId="0" fontId="16" fillId="14" borderId="7" xfId="0" applyFont="1" applyFill="1" applyBorder="1" applyAlignment="1" applyProtection="1">
      <alignment horizontal="center" vertical="center"/>
    </xf>
    <xf numFmtId="0" fontId="0" fillId="0" borderId="26" xfId="0" applyFont="1" applyFill="1" applyBorder="1" applyAlignment="1" applyProtection="1">
      <alignment horizontal="left" vertical="center"/>
    </xf>
    <xf numFmtId="0" fontId="0" fillId="0" borderId="24" xfId="0" applyFont="1" applyFill="1" applyBorder="1" applyAlignment="1" applyProtection="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ont="1" applyFill="1" applyBorder="1" applyAlignment="1" applyProtection="1">
      <alignment horizontal="left" vertical="center"/>
    </xf>
    <xf numFmtId="0" fontId="0" fillId="14" borderId="24" xfId="0" applyFont="1" applyFill="1" applyBorder="1" applyAlignment="1" applyProtection="1">
      <alignment horizontal="left" vertical="center"/>
    </xf>
    <xf numFmtId="0" fontId="0" fillId="0" borderId="0" xfId="0" applyFont="1" applyAlignment="1">
      <alignment horizontal="left" vertical="center"/>
    </xf>
    <xf numFmtId="0" fontId="15" fillId="17" borderId="30" xfId="0" applyFont="1" applyFill="1" applyBorder="1" applyAlignment="1" applyProtection="1">
      <alignment horizontal="center" vertical="center" wrapText="1"/>
    </xf>
    <xf numFmtId="2" fontId="14" fillId="4" borderId="22" xfId="0" applyNumberFormat="1" applyFont="1" applyFill="1" applyBorder="1" applyAlignment="1" applyProtection="1">
      <alignment vertical="center"/>
    </xf>
    <xf numFmtId="0" fontId="8" fillId="5" borderId="22" xfId="0" applyFont="1" applyFill="1" applyBorder="1" applyAlignment="1" applyProtection="1">
      <alignment horizontal="center" vertical="center"/>
    </xf>
    <xf numFmtId="0" fontId="8" fillId="5" borderId="22" xfId="0" applyFont="1" applyFill="1" applyBorder="1" applyAlignment="1" applyProtection="1">
      <alignment horizontal="center" vertical="center" wrapText="1"/>
    </xf>
    <xf numFmtId="2" fontId="8" fillId="5" borderId="22" xfId="0" applyNumberFormat="1" applyFont="1" applyFill="1" applyBorder="1" applyAlignment="1" applyProtection="1">
      <alignment horizontal="right" vertical="center" indent="1"/>
    </xf>
    <xf numFmtId="0" fontId="8" fillId="5" borderId="22" xfId="0" applyFont="1" applyFill="1" applyBorder="1" applyAlignment="1" applyProtection="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1" xfId="0" applyNumberFormat="1" applyFont="1" applyFill="1" applyBorder="1" applyAlignment="1" applyProtection="1">
      <alignment horizontal="right" vertical="center" wrapText="1" indent="1"/>
    </xf>
    <xf numFmtId="0" fontId="15" fillId="17" borderId="31" xfId="0" applyFont="1" applyFill="1" applyBorder="1" applyAlignment="1" applyProtection="1">
      <alignment vertical="center" wrapText="1"/>
    </xf>
    <xf numFmtId="0" fontId="0" fillId="0" borderId="32" xfId="0" applyFont="1" applyFill="1" applyBorder="1" applyAlignment="1" applyProtection="1">
      <alignment horizontal="left" vertical="center"/>
    </xf>
    <xf numFmtId="0" fontId="0" fillId="0" borderId="33" xfId="0" applyFont="1" applyFill="1" applyBorder="1" applyAlignment="1" applyProtection="1">
      <alignment horizontal="left" vertical="center" wrapText="1"/>
    </xf>
    <xf numFmtId="2" fontId="16" fillId="6" borderId="33" xfId="0" applyNumberFormat="1" applyFont="1" applyFill="1" applyBorder="1" applyAlignment="1" applyProtection="1">
      <alignment horizontal="right" vertical="center"/>
    </xf>
    <xf numFmtId="0" fontId="16" fillId="14" borderId="33" xfId="0" applyFont="1" applyFill="1" applyBorder="1" applyAlignment="1" applyProtection="1">
      <alignment horizontal="left" vertical="center"/>
    </xf>
    <xf numFmtId="0" fontId="16" fillId="4" borderId="9" xfId="0" applyNumberFormat="1" applyFont="1" applyFill="1" applyBorder="1" applyAlignment="1" applyProtection="1">
      <alignment horizontal="right" vertical="center"/>
    </xf>
    <xf numFmtId="2" fontId="15" fillId="17" borderId="14" xfId="0" applyNumberFormat="1" applyFont="1" applyFill="1" applyBorder="1" applyAlignment="1" applyProtection="1">
      <alignment horizontal="right" vertical="center" wrapText="1" indent="1"/>
    </xf>
    <xf numFmtId="0" fontId="15" fillId="17" borderId="14" xfId="0" applyFont="1" applyFill="1" applyBorder="1" applyAlignment="1" applyProtection="1">
      <alignment vertical="center" wrapText="1"/>
    </xf>
    <xf numFmtId="0" fontId="16" fillId="14" borderId="6" xfId="0" applyFont="1" applyFill="1" applyBorder="1" applyAlignment="1" applyProtection="1">
      <alignment vertical="center" wrapText="1"/>
    </xf>
    <xf numFmtId="2" fontId="14" fillId="14" borderId="1" xfId="0" applyNumberFormat="1" applyFont="1" applyFill="1" applyBorder="1" applyAlignment="1" applyProtection="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Fill="1" applyBorder="1" applyAlignment="1" applyProtection="1">
      <alignment horizontal="left" vertical="center" wrapText="1"/>
    </xf>
    <xf numFmtId="2" fontId="16" fillId="4" borderId="24" xfId="0" applyNumberFormat="1" applyFont="1" applyFill="1" applyBorder="1" applyAlignment="1" applyProtection="1">
      <alignment vertical="center"/>
    </xf>
    <xf numFmtId="0" fontId="14" fillId="14" borderId="24" xfId="0" applyFont="1" applyFill="1" applyBorder="1" applyAlignment="1" applyProtection="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pplyProtection="1">
      <alignment horizontal="center" vertical="center"/>
    </xf>
    <xf numFmtId="164" fontId="0" fillId="0" borderId="1" xfId="0" applyNumberFormat="1" applyFont="1" applyBorder="1" applyAlignment="1" applyProtection="1">
      <alignment horizontal="left" vertical="center"/>
    </xf>
    <xf numFmtId="166" fontId="0" fillId="0" borderId="0" xfId="0" applyNumberFormat="1" applyFont="1" applyAlignment="1" applyProtection="1">
      <alignment horizontal="left" vertical="center"/>
    </xf>
    <xf numFmtId="166" fontId="2" fillId="0" borderId="0" xfId="0" applyNumberFormat="1" applyFont="1" applyAlignment="1" applyProtection="1">
      <alignment horizontal="left" vertical="center"/>
    </xf>
    <xf numFmtId="166" fontId="0" fillId="0" borderId="0" xfId="0" applyNumberFormat="1" applyFont="1" applyAlignment="1" applyProtection="1">
      <alignment horizontal="right" vertical="center"/>
    </xf>
    <xf numFmtId="166" fontId="0" fillId="0" borderId="0" xfId="0" applyNumberFormat="1" applyFont="1" applyAlignment="1" applyProtection="1">
      <alignment vertical="center"/>
      <protection hidden="1"/>
    </xf>
    <xf numFmtId="166" fontId="0" fillId="0" borderId="0" xfId="0" applyNumberFormat="1"/>
    <xf numFmtId="0" fontId="5" fillId="0" borderId="6" xfId="0" applyFont="1" applyFill="1" applyBorder="1" applyAlignment="1" applyProtection="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ont="1" applyFill="1" applyBorder="1" applyAlignment="1" applyProtection="1">
      <alignment vertical="center"/>
      <protection hidden="1"/>
    </xf>
    <xf numFmtId="0" fontId="0" fillId="22" borderId="22" xfId="0" applyFont="1"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ont="1"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pplyProtection="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ont="1" applyFill="1" applyBorder="1" applyAlignment="1" applyProtection="1">
      <alignment vertical="center"/>
      <protection hidden="1"/>
    </xf>
    <xf numFmtId="0" fontId="0" fillId="25" borderId="22" xfId="0" applyFont="1"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on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pplyProtection="1">
      <alignment horizontal="right" vertical="center" indent="1"/>
    </xf>
    <xf numFmtId="0" fontId="34" fillId="14" borderId="22" xfId="0" applyFont="1" applyFill="1" applyBorder="1" applyAlignment="1" applyProtection="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pplyProtection="1">
      <alignment horizontal="right" vertical="center" indent="1"/>
    </xf>
    <xf numFmtId="0" fontId="14" fillId="14" borderId="22" xfId="0" applyFont="1" applyFill="1" applyBorder="1" applyAlignment="1" applyProtection="1">
      <alignment horizontal="left" vertical="center"/>
    </xf>
    <xf numFmtId="2" fontId="16" fillId="4" borderId="22" xfId="0" applyNumberFormat="1" applyFont="1" applyFill="1" applyBorder="1" applyAlignment="1" applyProtection="1">
      <alignment vertical="center"/>
    </xf>
    <xf numFmtId="0" fontId="16" fillId="14" borderId="22" xfId="0" applyFont="1" applyFill="1" applyBorder="1" applyAlignment="1" applyProtection="1">
      <alignment horizontal="left" vertical="center"/>
    </xf>
    <xf numFmtId="0" fontId="0" fillId="0" borderId="22" xfId="0" applyFont="1" applyFill="1" applyBorder="1" applyAlignment="1" applyProtection="1">
      <alignment horizontal="left" vertical="center"/>
    </xf>
    <xf numFmtId="0" fontId="0" fillId="0" borderId="22" xfId="0" applyFont="1" applyFill="1" applyBorder="1" applyAlignment="1" applyProtection="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0" fontId="0" fillId="0" borderId="0" xfId="0" applyNumberFormat="1" applyFont="1" applyBorder="1" applyAlignment="1" applyProtection="1">
      <alignment vertical="center"/>
    </xf>
    <xf numFmtId="166" fontId="17" fillId="0" borderId="0" xfId="0" applyNumberFormat="1" applyFont="1" applyAlignment="1" applyProtection="1">
      <alignment horizontal="center" vertical="center"/>
    </xf>
    <xf numFmtId="166" fontId="0" fillId="0" borderId="0" xfId="0" applyNumberFormat="1" applyFont="1" applyBorder="1" applyAlignment="1" applyProtection="1">
      <alignment vertical="center"/>
    </xf>
    <xf numFmtId="166" fontId="0" fillId="0" borderId="0" xfId="0" applyNumberFormat="1" applyFont="1" applyAlignment="1" applyProtection="1">
      <alignment horizontal="center" vertical="center"/>
    </xf>
    <xf numFmtId="166" fontId="0" fillId="22" borderId="0" xfId="0" applyNumberFormat="1" applyFont="1" applyFill="1" applyAlignment="1" applyProtection="1">
      <alignment horizontal="center" vertical="center"/>
    </xf>
    <xf numFmtId="166" fontId="0" fillId="22" borderId="0" xfId="0" applyNumberFormat="1" applyFont="1" applyFill="1" applyAlignment="1" applyProtection="1">
      <alignment vertical="center"/>
    </xf>
    <xf numFmtId="0" fontId="0" fillId="15" borderId="22" xfId="0" applyNumberFormat="1" applyFont="1" applyFill="1" applyBorder="1" applyAlignment="1" applyProtection="1">
      <alignment vertical="center" wrapText="1"/>
      <protection locked="0"/>
    </xf>
    <xf numFmtId="2" fontId="29" fillId="0" borderId="23" xfId="0" applyNumberFormat="1" applyFont="1" applyFill="1" applyBorder="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NumberFormat="1"/>
    <xf numFmtId="0" fontId="29" fillId="0" borderId="0" xfId="0" applyNumberFormat="1" applyFont="1" applyFill="1" applyBorder="1" applyAlignment="1" applyProtection="1">
      <alignment horizontal="center" vertical="center"/>
    </xf>
    <xf numFmtId="0" fontId="1" fillId="18" borderId="0" xfId="0" applyNumberFormat="1" applyFont="1" applyFill="1"/>
    <xf numFmtId="2" fontId="0" fillId="22" borderId="0" xfId="0" applyNumberFormat="1" applyFont="1" applyFill="1" applyAlignment="1" applyProtection="1">
      <alignment vertical="center"/>
      <protection hidden="1"/>
    </xf>
    <xf numFmtId="2" fontId="19" fillId="22" borderId="0" xfId="0" applyNumberFormat="1" applyFont="1" applyFill="1" applyAlignment="1" applyProtection="1">
      <alignment vertical="center" wrapText="1"/>
      <protection hidden="1"/>
    </xf>
    <xf numFmtId="0" fontId="9" fillId="0" borderId="25" xfId="0" applyFont="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0" xfId="0" applyFont="1" applyFill="1" applyBorder="1" applyAlignment="1" applyProtection="1">
      <alignment horizontal="center" vertical="center"/>
    </xf>
    <xf numFmtId="0" fontId="20" fillId="17" borderId="28" xfId="0" applyFont="1" applyFill="1" applyBorder="1" applyAlignment="1" applyProtection="1">
      <alignment horizontal="left" vertical="center"/>
    </xf>
    <xf numFmtId="0" fontId="20" fillId="17" borderId="29" xfId="0" applyFont="1" applyFill="1" applyBorder="1" applyAlignment="1" applyProtection="1">
      <alignment horizontal="left" vertical="center"/>
    </xf>
    <xf numFmtId="0" fontId="20" fillId="17" borderId="16" xfId="0" applyFont="1" applyFill="1" applyBorder="1" applyAlignment="1" applyProtection="1">
      <alignment horizontal="left" vertical="center"/>
    </xf>
    <xf numFmtId="0" fontId="20" fillId="17" borderId="17" xfId="0" applyFont="1" applyFill="1" applyBorder="1" applyAlignment="1" applyProtection="1">
      <alignment horizontal="left" vertical="center"/>
    </xf>
    <xf numFmtId="0" fontId="1" fillId="0" borderId="18" xfId="0" applyFont="1" applyFill="1" applyBorder="1" applyAlignment="1" applyProtection="1">
      <alignment horizontal="left" vertical="center"/>
    </xf>
    <xf numFmtId="0" fontId="1" fillId="0" borderId="19" xfId="0" applyFont="1" applyFill="1" applyBorder="1" applyAlignment="1" applyProtection="1">
      <alignment horizontal="left" vertical="center"/>
    </xf>
    <xf numFmtId="0" fontId="1" fillId="0" borderId="4" xfId="0" applyFont="1" applyFill="1" applyBorder="1" applyAlignment="1" applyProtection="1">
      <alignment horizontal="left" vertical="center"/>
    </xf>
    <xf numFmtId="0" fontId="20" fillId="17" borderId="16" xfId="0" applyFont="1" applyFill="1" applyBorder="1" applyAlignment="1" applyProtection="1">
      <alignment horizontal="left" vertical="center" wrapText="1"/>
    </xf>
    <xf numFmtId="0" fontId="20" fillId="17" borderId="21" xfId="0" applyFont="1" applyFill="1" applyBorder="1" applyAlignment="1" applyProtection="1">
      <alignment horizontal="left" vertical="center" wrapText="1"/>
    </xf>
    <xf numFmtId="0" fontId="20" fillId="17" borderId="20" xfId="0" applyFont="1" applyFill="1" applyBorder="1" applyAlignment="1" applyProtection="1">
      <alignment horizontal="left" vertical="center" wrapText="1"/>
    </xf>
    <xf numFmtId="0" fontId="1" fillId="0" borderId="16" xfId="0" applyFont="1" applyFill="1" applyBorder="1" applyAlignment="1" applyProtection="1">
      <alignment horizontal="left" vertical="center"/>
    </xf>
    <xf numFmtId="0" fontId="1" fillId="0" borderId="21" xfId="0" applyFont="1" applyFill="1" applyBorder="1" applyAlignment="1" applyProtection="1">
      <alignment horizontal="left" vertical="center"/>
    </xf>
    <xf numFmtId="0" fontId="1" fillId="0" borderId="20" xfId="0" applyFont="1" applyFill="1" applyBorder="1" applyAlignment="1" applyProtection="1">
      <alignment horizontal="left" vertical="center"/>
    </xf>
    <xf numFmtId="0" fontId="17" fillId="0" borderId="0" xfId="0" applyFont="1" applyAlignment="1" applyProtection="1">
      <alignment horizontal="left" vertical="center"/>
    </xf>
    <xf numFmtId="0" fontId="20" fillId="17" borderId="17" xfId="0" applyFont="1" applyFill="1" applyBorder="1" applyAlignment="1" applyProtection="1">
      <alignment horizontal="left" vertical="center" wrapText="1"/>
    </xf>
    <xf numFmtId="0" fontId="0" fillId="12" borderId="1" xfId="0" applyFill="1" applyBorder="1" applyAlignment="1">
      <alignment horizontal="center" vertical="center"/>
    </xf>
    <xf numFmtId="0" fontId="0" fillId="3"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9" borderId="1" xfId="0" applyFill="1" applyBorder="1" applyAlignment="1">
      <alignment horizontal="center" vertical="center"/>
    </xf>
    <xf numFmtId="0" fontId="9" fillId="0" borderId="0" xfId="0" applyFont="1" applyAlignment="1">
      <alignment horizontal="center"/>
    </xf>
  </cellXfs>
  <cellStyles count="5">
    <cellStyle name="Bad" xfId="4" builtinId="27"/>
    <cellStyle name="Good" xfId="3" builtinId="26"/>
    <cellStyle name="Hyperlink" xfId="2" builtinId="8"/>
    <cellStyle name="Normal" xfId="0" builtinId="0"/>
    <cellStyle name="Percent" xfId="1" builtinId="5"/>
  </cellStyles>
  <dxfs count="17">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33CC33"/>
      <color rgb="FFFFC7CE"/>
      <color rgb="FF00FFFF"/>
      <color rgb="FF0000FF"/>
      <color rgb="FFFF3300"/>
      <color rgb="FFFFFF99"/>
      <color rgb="FFFFFFCC"/>
      <color rgb="FFFF99FF"/>
      <color rgb="FF00FF00"/>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nl-BE"/>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Sheet'!$L$32:$L$34</c:f>
              <c:strCache>
                <c:ptCount val="3"/>
                <c:pt idx="0">
                  <c:v>Power Fail 
(VIN Falling)</c:v>
                </c:pt>
                <c:pt idx="1">
                  <c:v>Release UVLO (VIN Rising)</c:v>
                </c:pt>
                <c:pt idx="2">
                  <c:v>OV Clamp
(VIN Rising)</c:v>
                </c:pt>
              </c:strCache>
            </c:strRef>
          </c:cat>
          <c:val>
            <c:numRef>
              <c:f>'Calculation Sheet'!$K$32:$K$34</c:f>
              <c:numCache>
                <c:formatCode>0.00</c:formatCode>
                <c:ptCount val="3"/>
                <c:pt idx="0">
                  <c:v>2.4498694516971278</c:v>
                </c:pt>
                <c:pt idx="1">
                  <c:v>2.6725848563968664</c:v>
                </c:pt>
                <c:pt idx="2" formatCode="0.0">
                  <c:v>5.7</c:v>
                </c:pt>
              </c:numCache>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1AEC0AE2-447F-4F32-8E9F-8EABB2A40943}" type="CELLRANGE">
                      <a:rPr lang="en-US"/>
                      <a:pPr/>
                      <a:t>[CELLRANGE]</a:t>
                    </a:fld>
                    <a:r>
                      <a:rPr lang="en-US" baseline="0"/>
                      <a:t>, </a:t>
                    </a:r>
                    <a:fld id="{7B9A49AF-1240-4874-BF5A-EB6509258729}"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C47-4DCB-8B54-01B271ABC2AA}"/>
                </c:ext>
              </c:extLst>
            </c:dLbl>
            <c:dLbl>
              <c:idx val="1"/>
              <c:tx>
                <c:rich>
                  <a:bodyPr/>
                  <a:lstStyle/>
                  <a:p>
                    <a:fld id="{0F886BD4-C420-403A-AF5D-D417B4DFF39D}" type="CELLRANGE">
                      <a:rPr lang="en-US"/>
                      <a:pPr/>
                      <a:t>[CELLRANGE]</a:t>
                    </a:fld>
                    <a:r>
                      <a:rPr lang="en-US" baseline="0"/>
                      <a:t>, </a:t>
                    </a:r>
                    <a:fld id="{39EE116E-46E0-4CA5-A261-0F71E86A8504}"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C47-4DCB-8B54-01B271ABC2AA}"/>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Sheet'!$L$50:$L$51</c:f>
              <c:strCache>
                <c:ptCount val="2"/>
                <c:pt idx="0">
                  <c:v>Inrush Charging 
Current</c:v>
                </c:pt>
                <c:pt idx="1">
                  <c:v>Overload Current
Limit</c:v>
                </c:pt>
              </c:strCache>
            </c:strRef>
          </c:cat>
          <c:val>
            <c:numRef>
              <c:f>'Calculation Sheet'!$K$50:$K$51</c:f>
              <c:numCache>
                <c:formatCode>0.00</c:formatCode>
                <c:ptCount val="2"/>
                <c:pt idx="0">
                  <c:v>0.01</c:v>
                </c:pt>
                <c:pt idx="1">
                  <c:v>2.1649350649350652</c:v>
                </c:pt>
              </c:numCache>
            </c:numRef>
          </c:val>
          <c:smooth val="0"/>
          <c:extLst>
            <c:ext xmlns:c15="http://schemas.microsoft.com/office/drawing/2012/chart" uri="{02D57815-91ED-43cb-92C2-25804820EDAC}">
              <c15:datalabelsRange>
                <c15:f>'Calculation Sheet'!$L$50:$L$51</c15:f>
                <c15:dlblRangeCache>
                  <c:ptCount val="2"/>
                  <c:pt idx="0">
                    <c:v>Inrush Charging 
Current</c:v>
                  </c:pt>
                  <c:pt idx="1">
                    <c:v>Overload Current
Limit</c:v>
                  </c:pt>
                </c15:dlblRangeCache>
              </c15:datalabelsRange>
            </c:ext>
            <c:ext xmlns:c16="http://schemas.microsoft.com/office/drawing/2014/chart" uri="{C3380CC4-5D6E-409C-BE32-E72D297353CC}">
              <c16:uniqueId val="{00000000-0C47-4DCB-8B54-01B271ABC2AA}"/>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597335</xdr:colOff>
      <xdr:row>26</xdr:row>
      <xdr:rowOff>123406</xdr:rowOff>
    </xdr:from>
    <xdr:to>
      <xdr:col>15</xdr:col>
      <xdr:colOff>687917</xdr:colOff>
      <xdr:row>39</xdr:row>
      <xdr:rowOff>762000</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456030</xdr:colOff>
      <xdr:row>47</xdr:row>
      <xdr:rowOff>237170</xdr:rowOff>
    </xdr:from>
    <xdr:to>
      <xdr:col>15</xdr:col>
      <xdr:colOff>687917</xdr:colOff>
      <xdr:row>59</xdr:row>
      <xdr:rowOff>74083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518666</xdr:colOff>
      <xdr:row>2</xdr:row>
      <xdr:rowOff>141110</xdr:rowOff>
    </xdr:from>
    <xdr:to>
      <xdr:col>14</xdr:col>
      <xdr:colOff>1457995</xdr:colOff>
      <xdr:row>18</xdr:row>
      <xdr:rowOff>23518</xdr:rowOff>
    </xdr:to>
    <xdr:pic>
      <xdr:nvPicPr>
        <xdr:cNvPr id="2" name="Picture 1">
          <a:extLst>
            <a:ext uri="{FF2B5EF4-FFF2-40B4-BE49-F238E27FC236}">
              <a16:creationId xmlns:a16="http://schemas.microsoft.com/office/drawing/2014/main" id="{A427F251-41D0-47F6-B908-9D9E1842B815}"/>
            </a:ext>
          </a:extLst>
        </xdr:cNvPr>
        <xdr:cNvPicPr>
          <a:picLocks noChangeAspect="1"/>
        </xdr:cNvPicPr>
      </xdr:nvPicPr>
      <xdr:blipFill>
        <a:blip xmlns:r="http://schemas.openxmlformats.org/officeDocument/2006/relationships" r:embed="rId3"/>
        <a:stretch>
          <a:fillRect/>
        </a:stretch>
      </xdr:blipFill>
      <xdr:spPr>
        <a:xfrm>
          <a:off x="11960425" y="634999"/>
          <a:ext cx="8806274" cy="4715463"/>
        </a:xfrm>
        <a:prstGeom prst="rect">
          <a:avLst/>
        </a:prstGeom>
        <a:ln w="57150">
          <a:solidFill>
            <a:schemeClr val="tx2">
              <a:lumMod val="60000"/>
              <a:lumOff val="4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32"/>
  <sheetViews>
    <sheetView showGridLines="0" tabSelected="1" topLeftCell="A46" zoomScale="70" zoomScaleNormal="70" workbookViewId="0">
      <selection activeCell="D18" sqref="D18"/>
    </sheetView>
  </sheetViews>
  <sheetFormatPr defaultColWidth="9.109375" defaultRowHeight="18" customHeight="1" x14ac:dyDescent="0.3"/>
  <cols>
    <col min="1" max="1" width="2.44140625" style="19" customWidth="1"/>
    <col min="2" max="2" width="26.33203125" style="19" customWidth="1"/>
    <col min="3" max="3" width="64.109375" style="34" customWidth="1"/>
    <col min="4" max="4" width="17.33203125" style="18" customWidth="1"/>
    <col min="5" max="5" width="7.88671875" style="19" bestFit="1" customWidth="1"/>
    <col min="6" max="6" width="9.109375" style="20" bestFit="1" customWidth="1"/>
    <col min="7" max="7" width="15.6640625" style="25" customWidth="1"/>
    <col min="8" max="8" width="9.109375" style="19"/>
    <col min="9" max="9" width="11.5546875" style="19" bestFit="1" customWidth="1"/>
    <col min="10" max="10" width="36.109375" style="19" bestFit="1" customWidth="1"/>
    <col min="11" max="11" width="41.21875" style="19" customWidth="1"/>
    <col min="12" max="12" width="12.88671875" style="19" customWidth="1"/>
    <col min="13" max="13" width="6.5546875" style="19" customWidth="1"/>
    <col min="14" max="14" width="15.77734375" style="19" customWidth="1"/>
    <col min="15" max="15" width="36.109375" style="19" bestFit="1" customWidth="1"/>
    <col min="16" max="16" width="15.6640625" style="19" customWidth="1"/>
    <col min="17" max="17" width="34.88671875" style="19" customWidth="1"/>
    <col min="18" max="20" width="31" style="19" customWidth="1"/>
    <col min="21" max="21" width="27.44140625" style="20" customWidth="1"/>
    <col min="22" max="22" width="14.44140625" style="20" bestFit="1" customWidth="1"/>
    <col min="23" max="23" width="9.109375" style="99"/>
    <col min="24" max="24" width="19.77734375" style="19" customWidth="1"/>
    <col min="25" max="25" width="28.33203125" style="19" customWidth="1"/>
    <col min="26" max="26" width="16.88671875" style="19" customWidth="1"/>
    <col min="27" max="27" width="22" style="19" customWidth="1"/>
    <col min="28" max="16384" width="9.109375" style="19"/>
  </cols>
  <sheetData>
    <row r="1" spans="2:26" ht="18" customHeight="1" x14ac:dyDescent="0.3">
      <c r="B1" s="275" t="s">
        <v>201</v>
      </c>
      <c r="C1" s="276"/>
      <c r="D1" s="276"/>
      <c r="E1" s="276"/>
      <c r="F1" s="276"/>
      <c r="G1" s="276"/>
      <c r="N1"/>
      <c r="O1"/>
      <c r="P1"/>
    </row>
    <row r="2" spans="2:26" ht="21" x14ac:dyDescent="0.3">
      <c r="B2" s="50"/>
      <c r="C2" s="50"/>
      <c r="D2" s="54"/>
      <c r="E2" s="52"/>
      <c r="F2" s="53"/>
      <c r="N2"/>
      <c r="O2"/>
      <c r="P2" s="274" t="s">
        <v>149</v>
      </c>
      <c r="Q2" s="274"/>
      <c r="R2" s="274"/>
      <c r="S2" s="274"/>
      <c r="T2" s="274"/>
      <c r="U2" s="274"/>
    </row>
    <row r="3" spans="2:26" ht="28.05" customHeight="1" x14ac:dyDescent="0.3">
      <c r="B3" s="84"/>
      <c r="C3" s="55" t="s">
        <v>30</v>
      </c>
      <c r="D3" s="54"/>
      <c r="E3" s="52"/>
      <c r="F3" s="53"/>
      <c r="N3"/>
      <c r="O3"/>
      <c r="P3" s="171" t="s">
        <v>150</v>
      </c>
      <c r="Q3" s="171" t="s">
        <v>151</v>
      </c>
      <c r="R3" s="171" t="s">
        <v>154</v>
      </c>
      <c r="S3" s="171" t="s">
        <v>155</v>
      </c>
      <c r="T3" s="171" t="s">
        <v>156</v>
      </c>
      <c r="U3" s="171" t="s">
        <v>152</v>
      </c>
      <c r="W3" s="260">
        <v>3.8</v>
      </c>
      <c r="X3" s="170">
        <v>5.7</v>
      </c>
      <c r="Y3" s="170"/>
    </row>
    <row r="4" spans="2:26" ht="25.5" customHeight="1" x14ac:dyDescent="0.3">
      <c r="B4" s="33"/>
      <c r="C4" s="49" t="s">
        <v>31</v>
      </c>
      <c r="D4" s="54"/>
      <c r="E4" s="52"/>
      <c r="F4" s="53"/>
      <c r="N4"/>
      <c r="O4"/>
      <c r="P4" s="172" t="s">
        <v>202</v>
      </c>
      <c r="Q4" s="176" t="s">
        <v>205</v>
      </c>
      <c r="R4" s="173" t="s">
        <v>157</v>
      </c>
      <c r="S4" s="173" t="s">
        <v>158</v>
      </c>
      <c r="T4" s="173" t="s">
        <v>113</v>
      </c>
      <c r="U4" s="173" t="s">
        <v>159</v>
      </c>
      <c r="W4" s="260" t="s">
        <v>177</v>
      </c>
      <c r="X4" s="170" t="s">
        <v>178</v>
      </c>
      <c r="Y4" s="170"/>
      <c r="Z4" s="170"/>
    </row>
    <row r="5" spans="2:26" ht="26.55" customHeight="1" x14ac:dyDescent="0.3">
      <c r="B5" s="21"/>
      <c r="C5" s="56" t="s">
        <v>32</v>
      </c>
      <c r="D5" s="54"/>
      <c r="E5" s="52"/>
      <c r="F5" s="53"/>
      <c r="N5"/>
      <c r="O5"/>
      <c r="P5" s="174" t="s">
        <v>204</v>
      </c>
      <c r="Q5" s="176" t="s">
        <v>203</v>
      </c>
      <c r="R5" s="173" t="s">
        <v>157</v>
      </c>
      <c r="S5" s="173" t="s">
        <v>158</v>
      </c>
      <c r="T5" s="173" t="s">
        <v>113</v>
      </c>
      <c r="U5" s="175" t="s">
        <v>153</v>
      </c>
    </row>
    <row r="6" spans="2:26" ht="23.55" customHeight="1" x14ac:dyDescent="0.3">
      <c r="B6" s="35"/>
      <c r="C6" s="49" t="s">
        <v>68</v>
      </c>
      <c r="D6" s="51"/>
      <c r="E6" s="52"/>
      <c r="F6" s="53"/>
      <c r="G6" s="51"/>
      <c r="M6" s="100"/>
      <c r="N6"/>
      <c r="O6"/>
      <c r="P6"/>
      <c r="Q6"/>
      <c r="R6"/>
      <c r="S6"/>
      <c r="T6"/>
      <c r="U6"/>
      <c r="W6" s="101"/>
    </row>
    <row r="7" spans="2:26" ht="24" customHeight="1" thickBot="1" x14ac:dyDescent="0.35">
      <c r="B7" s="47"/>
      <c r="C7" s="57" t="s">
        <v>89</v>
      </c>
      <c r="D7" s="54"/>
      <c r="E7" s="52"/>
      <c r="F7" s="53"/>
      <c r="G7" s="51"/>
      <c r="M7" s="102"/>
      <c r="N7" s="103"/>
      <c r="O7" s="53"/>
      <c r="P7"/>
      <c r="Q7"/>
      <c r="R7"/>
      <c r="S7"/>
      <c r="T7"/>
      <c r="U7"/>
      <c r="W7" s="104"/>
    </row>
    <row r="8" spans="2:26" ht="18" customHeight="1" thickBot="1" x14ac:dyDescent="0.35">
      <c r="B8" s="40"/>
      <c r="C8" s="41"/>
      <c r="D8" s="42"/>
      <c r="E8" s="43"/>
      <c r="F8" s="44"/>
      <c r="G8" s="39"/>
      <c r="M8" s="102"/>
      <c r="N8" s="103"/>
      <c r="O8" s="53"/>
      <c r="P8"/>
      <c r="Q8"/>
      <c r="R8"/>
      <c r="S8"/>
      <c r="T8"/>
      <c r="U8"/>
      <c r="W8" s="104"/>
    </row>
    <row r="9" spans="2:26" ht="29.4" thickBot="1" x14ac:dyDescent="0.35">
      <c r="B9" s="64" t="s">
        <v>0</v>
      </c>
      <c r="C9" s="65" t="s">
        <v>1</v>
      </c>
      <c r="D9" s="95" t="s">
        <v>2</v>
      </c>
      <c r="E9" s="96" t="s">
        <v>3</v>
      </c>
      <c r="F9" s="66" t="s">
        <v>50</v>
      </c>
      <c r="G9" s="135" t="s">
        <v>104</v>
      </c>
      <c r="M9" s="105"/>
      <c r="N9" s="103"/>
      <c r="O9" s="53"/>
      <c r="P9"/>
      <c r="Q9"/>
      <c r="R9"/>
      <c r="S9"/>
      <c r="T9"/>
      <c r="U9"/>
      <c r="W9" s="104"/>
    </row>
    <row r="10" spans="2:26" ht="31.05" customHeight="1" x14ac:dyDescent="0.3">
      <c r="B10" s="177" t="s">
        <v>160</v>
      </c>
      <c r="C10" s="220" t="s">
        <v>211</v>
      </c>
      <c r="D10" s="179" t="s">
        <v>202</v>
      </c>
      <c r="E10" s="67"/>
      <c r="F10" s="180"/>
      <c r="P10"/>
      <c r="Q10"/>
      <c r="R10"/>
      <c r="S10"/>
      <c r="T10"/>
      <c r="U10"/>
      <c r="V10" s="162"/>
      <c r="W10" s="104"/>
    </row>
    <row r="11" spans="2:26" ht="31.05" customHeight="1" x14ac:dyDescent="0.3">
      <c r="B11" s="76" t="s">
        <v>72</v>
      </c>
      <c r="C11" s="78" t="s">
        <v>97</v>
      </c>
      <c r="D11" s="139">
        <v>5.5</v>
      </c>
      <c r="E11" s="22" t="s">
        <v>6</v>
      </c>
      <c r="F11" s="29"/>
      <c r="P11"/>
      <c r="Q11"/>
      <c r="R11"/>
      <c r="S11"/>
      <c r="T11"/>
      <c r="U11"/>
      <c r="V11" s="162"/>
      <c r="W11" s="104"/>
    </row>
    <row r="12" spans="2:26" ht="15.6" x14ac:dyDescent="0.3">
      <c r="B12" s="76" t="s">
        <v>161</v>
      </c>
      <c r="C12" s="78" t="s">
        <v>162</v>
      </c>
      <c r="D12" s="139">
        <v>5.7</v>
      </c>
      <c r="E12" s="23" t="s">
        <v>6</v>
      </c>
      <c r="F12" s="87">
        <v>3.5000000000000003E-2</v>
      </c>
      <c r="P12"/>
      <c r="Q12"/>
      <c r="R12"/>
      <c r="S12"/>
      <c r="T12"/>
      <c r="U12"/>
      <c r="W12" s="104"/>
    </row>
    <row r="13" spans="2:26" ht="19.5" customHeight="1" x14ac:dyDescent="0.3">
      <c r="B13" s="76" t="s">
        <v>105</v>
      </c>
      <c r="C13" s="78" t="s">
        <v>98</v>
      </c>
      <c r="D13" s="139">
        <v>2.7</v>
      </c>
      <c r="E13" s="22" t="s">
        <v>6</v>
      </c>
      <c r="F13" s="87">
        <v>0.03</v>
      </c>
      <c r="P13"/>
      <c r="Q13"/>
      <c r="R13"/>
      <c r="S13"/>
      <c r="T13"/>
      <c r="U13"/>
      <c r="V13" s="162"/>
      <c r="W13" s="104"/>
    </row>
    <row r="14" spans="2:26" ht="23.55" customHeight="1" x14ac:dyDescent="0.3">
      <c r="B14" s="76" t="s">
        <v>90</v>
      </c>
      <c r="C14" s="91" t="s">
        <v>91</v>
      </c>
      <c r="D14" s="140">
        <v>2.5299999999999998</v>
      </c>
      <c r="E14" s="22" t="s">
        <v>6</v>
      </c>
      <c r="F14" s="87">
        <v>0.03</v>
      </c>
      <c r="P14"/>
      <c r="Q14"/>
      <c r="R14"/>
      <c r="S14"/>
      <c r="T14"/>
      <c r="U14"/>
      <c r="V14" s="162"/>
      <c r="W14" s="104"/>
    </row>
    <row r="15" spans="2:26" ht="18.45" customHeight="1" x14ac:dyDescent="0.3">
      <c r="B15" s="76" t="s">
        <v>9</v>
      </c>
      <c r="C15" s="78" t="s">
        <v>10</v>
      </c>
      <c r="D15" s="122">
        <v>10</v>
      </c>
      <c r="E15" s="22" t="s">
        <v>11</v>
      </c>
      <c r="F15" s="97">
        <v>0.1</v>
      </c>
      <c r="I15"/>
      <c r="J15"/>
      <c r="K15"/>
      <c r="L15"/>
      <c r="M15" s="105"/>
      <c r="N15" s="44"/>
      <c r="O15" s="44"/>
      <c r="P15"/>
      <c r="Q15"/>
      <c r="R15"/>
      <c r="S15"/>
      <c r="T15"/>
      <c r="U15"/>
      <c r="W15" s="104"/>
    </row>
    <row r="16" spans="2:26" ht="14.4" x14ac:dyDescent="0.3">
      <c r="B16" s="76" t="s">
        <v>35</v>
      </c>
      <c r="C16" s="149" t="s">
        <v>107</v>
      </c>
      <c r="D16" s="122">
        <v>1000</v>
      </c>
      <c r="E16" s="22" t="s">
        <v>36</v>
      </c>
      <c r="F16" s="29"/>
      <c r="M16" s="108"/>
      <c r="U16" s="109"/>
      <c r="V16" s="109"/>
      <c r="W16" s="104"/>
    </row>
    <row r="17" spans="2:23" ht="34.200000000000003" customHeight="1" x14ac:dyDescent="0.3">
      <c r="B17" s="76" t="s">
        <v>138</v>
      </c>
      <c r="C17" s="149" t="s">
        <v>137</v>
      </c>
      <c r="D17" s="159">
        <v>0</v>
      </c>
      <c r="E17" s="22" t="s">
        <v>6</v>
      </c>
      <c r="F17" s="29"/>
      <c r="G17" s="127"/>
      <c r="M17" s="107"/>
      <c r="N17" s="105"/>
      <c r="O17" s="110"/>
      <c r="P17" s="105"/>
      <c r="Q17" s="105"/>
      <c r="R17" s="105"/>
      <c r="S17" s="105"/>
      <c r="T17" s="105"/>
      <c r="U17" s="44"/>
      <c r="V17" s="44"/>
      <c r="W17" s="104"/>
    </row>
    <row r="18" spans="2:23" ht="18" customHeight="1" x14ac:dyDescent="0.3">
      <c r="B18" s="76" t="s">
        <v>12</v>
      </c>
      <c r="C18" s="78" t="s">
        <v>13</v>
      </c>
      <c r="D18" s="139">
        <v>2</v>
      </c>
      <c r="E18" s="22" t="s">
        <v>4</v>
      </c>
      <c r="F18" s="29"/>
      <c r="G18" s="128"/>
      <c r="M18" s="108"/>
      <c r="N18" s="102"/>
      <c r="O18" s="102"/>
      <c r="P18" s="102"/>
      <c r="Q18" s="106"/>
      <c r="R18" s="106"/>
      <c r="S18" s="106"/>
      <c r="T18" s="106"/>
      <c r="U18" s="109"/>
      <c r="V18" s="109"/>
      <c r="W18" s="104"/>
    </row>
    <row r="19" spans="2:23" ht="14.4" x14ac:dyDescent="0.3">
      <c r="B19" s="76" t="s">
        <v>163</v>
      </c>
      <c r="C19" s="78" t="s">
        <v>164</v>
      </c>
      <c r="D19" s="184">
        <f>IF(1.105*Imax&lt;0.5, 0.5, IF(1.105*Imax&gt;6, 6,1.105*Imax ))</f>
        <v>2.21</v>
      </c>
      <c r="E19" s="185" t="s">
        <v>4</v>
      </c>
      <c r="F19" s="29"/>
      <c r="G19" s="136">
        <f>Vcc_max/Imax</f>
        <v>2.75</v>
      </c>
      <c r="M19" s="107"/>
      <c r="N19" s="105"/>
      <c r="O19" s="105"/>
      <c r="P19" s="105"/>
      <c r="Q19" s="105"/>
      <c r="R19" s="105"/>
      <c r="S19" s="105"/>
      <c r="T19" s="105"/>
      <c r="U19" s="44"/>
      <c r="V19" s="44"/>
      <c r="W19" s="104"/>
    </row>
    <row r="20" spans="2:23" ht="14.4" x14ac:dyDescent="0.3">
      <c r="B20" s="181" t="s">
        <v>166</v>
      </c>
      <c r="C20" s="182" t="s">
        <v>165</v>
      </c>
      <c r="D20" s="159">
        <v>2</v>
      </c>
      <c r="E20" s="186" t="s">
        <v>5</v>
      </c>
      <c r="F20" s="183"/>
      <c r="G20"/>
      <c r="M20" s="107"/>
      <c r="N20" s="105"/>
      <c r="O20" s="105"/>
      <c r="P20" s="105"/>
      <c r="Q20" s="105"/>
      <c r="R20" s="105"/>
      <c r="S20" s="105"/>
      <c r="T20" s="105"/>
      <c r="U20" s="44"/>
      <c r="V20" s="44"/>
      <c r="W20" s="104"/>
    </row>
    <row r="21" spans="2:23" ht="18" customHeight="1" thickBot="1" x14ac:dyDescent="0.35">
      <c r="B21" s="77" t="s">
        <v>101</v>
      </c>
      <c r="C21" s="79" t="s">
        <v>102</v>
      </c>
      <c r="D21" s="141">
        <v>85</v>
      </c>
      <c r="E21" s="45" t="s">
        <v>103</v>
      </c>
      <c r="F21" s="46"/>
      <c r="G21" s="128"/>
      <c r="M21" s="108"/>
      <c r="N21" s="102"/>
      <c r="O21" s="102"/>
      <c r="P21" s="102"/>
      <c r="Q21" s="102"/>
      <c r="R21" s="102"/>
      <c r="S21" s="102"/>
      <c r="T21" s="102"/>
      <c r="U21" s="109"/>
      <c r="V21" s="109"/>
      <c r="W21" s="104"/>
    </row>
    <row r="22" spans="2:23" ht="18" customHeight="1" thickBot="1" x14ac:dyDescent="0.35">
      <c r="B22"/>
      <c r="C22"/>
      <c r="D22"/>
      <c r="E22"/>
      <c r="F22"/>
      <c r="G22" s="127"/>
      <c r="M22" s="108"/>
      <c r="N22" s="102"/>
      <c r="O22" s="102"/>
      <c r="P22" s="102"/>
      <c r="Q22" s="102"/>
      <c r="R22" s="102"/>
      <c r="S22" s="102"/>
      <c r="T22" s="102"/>
      <c r="U22" s="109"/>
      <c r="V22" s="109"/>
      <c r="W22" s="104"/>
    </row>
    <row r="23" spans="2:23" ht="18" customHeight="1" thickBot="1" x14ac:dyDescent="0.35">
      <c r="B23" s="277" t="s">
        <v>208</v>
      </c>
      <c r="C23" s="278"/>
      <c r="D23" s="196"/>
      <c r="E23" s="197"/>
      <c r="F23" s="188"/>
      <c r="G23" s="127"/>
      <c r="M23" s="108"/>
      <c r="N23" s="102"/>
      <c r="O23" s="102"/>
      <c r="P23" s="102"/>
      <c r="Q23" s="102"/>
      <c r="R23" s="102"/>
      <c r="S23" s="102"/>
      <c r="T23" s="102"/>
      <c r="U23" s="109"/>
      <c r="V23" s="109"/>
      <c r="W23" s="104"/>
    </row>
    <row r="24" spans="2:23" ht="18" customHeight="1" x14ac:dyDescent="0.3">
      <c r="B24" s="198" t="s">
        <v>173</v>
      </c>
      <c r="C24" s="199" t="s">
        <v>174</v>
      </c>
      <c r="D24" s="200">
        <f>D12</f>
        <v>5.7</v>
      </c>
      <c r="E24" s="201" t="s">
        <v>6</v>
      </c>
      <c r="F24" s="87">
        <v>3.5000000000000003E-2</v>
      </c>
      <c r="G24" s="127"/>
      <c r="M24" s="107"/>
      <c r="N24" s="105"/>
      <c r="O24" s="105"/>
      <c r="P24" s="105"/>
      <c r="Q24" s="105"/>
      <c r="R24" s="105"/>
      <c r="S24" s="105"/>
      <c r="T24" s="105"/>
      <c r="U24" s="44"/>
      <c r="V24" s="44"/>
      <c r="W24" s="104"/>
    </row>
    <row r="25" spans="2:23" ht="15" thickBot="1" x14ac:dyDescent="0.35">
      <c r="B25" s="77" t="s">
        <v>175</v>
      </c>
      <c r="C25" s="79" t="s">
        <v>176</v>
      </c>
      <c r="D25" s="202" t="str">
        <f>INDEX(W4:Y4,MATCH(D24,W3:Y3))</f>
        <v>Open</v>
      </c>
      <c r="E25" s="62" t="s">
        <v>14</v>
      </c>
      <c r="F25" s="63"/>
      <c r="G25" s="127"/>
      <c r="M25" s="107"/>
      <c r="N25" s="105"/>
      <c r="O25" s="105"/>
      <c r="P25" s="105"/>
      <c r="Q25" s="105"/>
      <c r="R25" s="105"/>
      <c r="S25" s="105"/>
      <c r="T25" s="105"/>
      <c r="U25" s="44"/>
      <c r="V25" s="44"/>
      <c r="W25" s="104"/>
    </row>
    <row r="26" spans="2:23" ht="15" thickBot="1" x14ac:dyDescent="0.35">
      <c r="B26"/>
      <c r="C26"/>
      <c r="D26"/>
      <c r="E26"/>
      <c r="F26"/>
      <c r="G26" s="127"/>
      <c r="M26" s="108"/>
      <c r="N26" s="102"/>
      <c r="O26" s="102"/>
      <c r="P26" s="102"/>
      <c r="Q26" s="102"/>
      <c r="R26" s="102"/>
      <c r="S26" s="102"/>
      <c r="T26" s="102"/>
      <c r="U26" s="109"/>
      <c r="V26" s="109"/>
      <c r="W26" s="104"/>
    </row>
    <row r="27" spans="2:23" ht="21.6" thickBot="1" x14ac:dyDescent="0.35">
      <c r="B27" s="279" t="s">
        <v>209</v>
      </c>
      <c r="C27" s="280"/>
      <c r="D27" s="203"/>
      <c r="E27" s="204"/>
      <c r="F27" s="68"/>
      <c r="G27" s="126"/>
    </row>
    <row r="28" spans="2:23" ht="15.6" x14ac:dyDescent="0.3">
      <c r="B28" s="76" t="s">
        <v>105</v>
      </c>
      <c r="C28" s="178" t="s">
        <v>98</v>
      </c>
      <c r="D28" s="86">
        <f>D13</f>
        <v>2.7</v>
      </c>
      <c r="E28" s="205" t="s">
        <v>6</v>
      </c>
      <c r="F28" s="87">
        <v>0.03</v>
      </c>
      <c r="G28" s="126"/>
      <c r="U28" s="162"/>
      <c r="V28" s="162"/>
    </row>
    <row r="29" spans="2:23" ht="14.4" x14ac:dyDescent="0.3">
      <c r="B29" s="76" t="s">
        <v>180</v>
      </c>
      <c r="C29" s="78" t="s">
        <v>184</v>
      </c>
      <c r="D29" s="122">
        <v>470</v>
      </c>
      <c r="E29" s="22" t="s">
        <v>14</v>
      </c>
      <c r="F29" s="97">
        <v>0.01</v>
      </c>
      <c r="G29" s="126"/>
      <c r="U29" s="162"/>
      <c r="V29" s="162"/>
    </row>
    <row r="30" spans="2:23" ht="14.4" x14ac:dyDescent="0.3">
      <c r="B30" s="76" t="s">
        <v>63</v>
      </c>
      <c r="C30" s="78" t="s">
        <v>181</v>
      </c>
      <c r="D30" s="80">
        <f>D29/(D28/OVref -1)</f>
        <v>375.99999999999989</v>
      </c>
      <c r="E30" s="23" t="s">
        <v>14</v>
      </c>
      <c r="F30" s="61"/>
      <c r="G30" s="126"/>
      <c r="U30" s="162"/>
      <c r="V30" s="162"/>
    </row>
    <row r="31" spans="2:23" ht="15.6" x14ac:dyDescent="0.3">
      <c r="B31" s="281" t="s">
        <v>182</v>
      </c>
      <c r="C31" s="282"/>
      <c r="D31" s="283"/>
      <c r="E31" s="206"/>
      <c r="F31" s="207"/>
      <c r="G31" s="126"/>
      <c r="U31" s="162"/>
      <c r="V31" s="162"/>
    </row>
    <row r="32" spans="2:23" ht="14.4" x14ac:dyDescent="0.3">
      <c r="B32" s="76" t="s">
        <v>41</v>
      </c>
      <c r="C32" s="78" t="s">
        <v>42</v>
      </c>
      <c r="D32" s="123">
        <f>G35</f>
        <v>383.00000000000006</v>
      </c>
      <c r="E32" s="23" t="s">
        <v>14</v>
      </c>
      <c r="F32" s="208">
        <f>F29</f>
        <v>0.01</v>
      </c>
      <c r="G32" s="126"/>
      <c r="K32" s="112">
        <f>D34</f>
        <v>2.4498694516971278</v>
      </c>
      <c r="L32" s="113" t="s">
        <v>195</v>
      </c>
      <c r="U32" s="162"/>
      <c r="V32" s="162"/>
    </row>
    <row r="33" spans="2:23" ht="14.4" x14ac:dyDescent="0.3">
      <c r="B33" s="76" t="s">
        <v>94</v>
      </c>
      <c r="C33" s="78" t="s">
        <v>100</v>
      </c>
      <c r="D33" s="81">
        <f>OVref*(1+D29/D32)</f>
        <v>2.6725848563968664</v>
      </c>
      <c r="E33" s="23" t="s">
        <v>6</v>
      </c>
      <c r="F33" s="88">
        <f>SQRT(F108^2+F29^2+F32^2)</f>
        <v>3.3166247903553998E-2</v>
      </c>
      <c r="G33" s="126"/>
      <c r="K33" s="112">
        <f>D33</f>
        <v>2.6725848563968664</v>
      </c>
      <c r="L33" s="113" t="s">
        <v>79</v>
      </c>
      <c r="U33" s="162"/>
      <c r="V33" s="162"/>
    </row>
    <row r="34" spans="2:23" ht="15.6" x14ac:dyDescent="0.3">
      <c r="B34" s="181" t="s">
        <v>95</v>
      </c>
      <c r="C34" s="209" t="s">
        <v>96</v>
      </c>
      <c r="D34" s="210">
        <f>UVref*(1+D29/D32)</f>
        <v>2.4498694516971278</v>
      </c>
      <c r="E34" s="211" t="s">
        <v>6</v>
      </c>
      <c r="F34" s="212">
        <f>SQRT(F107^2+F29^2+F32^2)</f>
        <v>6.4567793829431716E-2</v>
      </c>
      <c r="G34" s="126"/>
      <c r="K34" s="214">
        <f>D24</f>
        <v>5.7</v>
      </c>
      <c r="L34" s="113" t="s">
        <v>196</v>
      </c>
      <c r="U34" s="162"/>
      <c r="V34" s="162"/>
    </row>
    <row r="35" spans="2:23" ht="15" thickBot="1" x14ac:dyDescent="0.35">
      <c r="B35" s="77" t="s">
        <v>179</v>
      </c>
      <c r="C35" s="79" t="s">
        <v>183</v>
      </c>
      <c r="D35" s="82">
        <f>D11*1000/(D29+D32)</f>
        <v>6.4478311840562723</v>
      </c>
      <c r="E35" s="62" t="s">
        <v>7</v>
      </c>
      <c r="F35" s="63"/>
      <c r="G35" s="126">
        <f>L56/L55*D30</f>
        <v>383.00000000000006</v>
      </c>
      <c r="U35" s="162"/>
      <c r="V35" s="162"/>
    </row>
    <row r="36" spans="2:23" ht="14.4" x14ac:dyDescent="0.3">
      <c r="B36"/>
      <c r="C36"/>
      <c r="D36"/>
      <c r="E36"/>
      <c r="F36"/>
      <c r="G36" s="126"/>
      <c r="K36" s="26"/>
      <c r="L36" s="118"/>
      <c r="U36" s="162"/>
      <c r="V36" s="162"/>
    </row>
    <row r="37" spans="2:23" ht="14.4" x14ac:dyDescent="0.3">
      <c r="B37"/>
      <c r="C37"/>
      <c r="D37"/>
      <c r="E37"/>
      <c r="F37"/>
      <c r="G37" s="126"/>
      <c r="K37" s="26"/>
      <c r="L37" s="118"/>
      <c r="U37" s="162"/>
      <c r="V37" s="162"/>
    </row>
    <row r="38" spans="2:23" ht="14.4" x14ac:dyDescent="0.3">
      <c r="B38"/>
      <c r="C38"/>
      <c r="D38"/>
      <c r="E38"/>
      <c r="F38"/>
      <c r="G38" s="126"/>
      <c r="U38" s="162"/>
      <c r="V38" s="162"/>
    </row>
    <row r="39" spans="2:23" ht="14.4" x14ac:dyDescent="0.3">
      <c r="B39"/>
      <c r="C39"/>
      <c r="D39"/>
      <c r="E39"/>
      <c r="F39"/>
      <c r="G39" s="126"/>
      <c r="U39" s="162"/>
      <c r="V39" s="162"/>
    </row>
    <row r="40" spans="2:23" ht="72.45" customHeight="1" thickBot="1" x14ac:dyDescent="0.35">
      <c r="B40"/>
      <c r="C40"/>
      <c r="D40"/>
      <c r="E40"/>
      <c r="F40"/>
      <c r="G40" s="126"/>
      <c r="U40" s="162"/>
      <c r="V40" s="162"/>
    </row>
    <row r="41" spans="2:23" ht="40.950000000000003" customHeight="1" thickBot="1" x14ac:dyDescent="0.35">
      <c r="B41" s="221" t="s">
        <v>210</v>
      </c>
      <c r="C41" s="222"/>
      <c r="D41" s="223"/>
      <c r="E41" s="222"/>
      <c r="F41" s="224"/>
      <c r="G41" s="129"/>
      <c r="L41" s="215" t="s">
        <v>99</v>
      </c>
      <c r="M41" s="116"/>
      <c r="N41" s="116"/>
      <c r="O41" s="116"/>
      <c r="P41" s="116"/>
      <c r="Q41" s="116"/>
      <c r="R41" s="116"/>
      <c r="S41" s="116"/>
      <c r="T41" s="116"/>
      <c r="U41" s="117"/>
      <c r="V41" s="117"/>
    </row>
    <row r="42" spans="2:23" ht="24" customHeight="1" thickBot="1" x14ac:dyDescent="0.35">
      <c r="B42" s="150" t="s">
        <v>108</v>
      </c>
      <c r="C42" s="151" t="s">
        <v>109</v>
      </c>
      <c r="D42" s="225">
        <v>2.7</v>
      </c>
      <c r="E42" s="152" t="s">
        <v>6</v>
      </c>
      <c r="F42" s="226">
        <v>0.03</v>
      </c>
      <c r="G42" s="129"/>
      <c r="L42" s="216"/>
      <c r="M42" s="116"/>
      <c r="N42" s="116"/>
      <c r="O42" s="116"/>
      <c r="P42" s="116"/>
      <c r="Q42" s="116"/>
      <c r="R42" s="116"/>
      <c r="S42" s="116"/>
      <c r="T42" s="116"/>
      <c r="U42" s="117"/>
      <c r="V42" s="117"/>
    </row>
    <row r="43" spans="2:23" ht="39.450000000000003" customHeight="1" thickBot="1" x14ac:dyDescent="0.35">
      <c r="B43" s="227" t="s">
        <v>110</v>
      </c>
      <c r="C43" s="228" t="s">
        <v>123</v>
      </c>
      <c r="D43" s="229">
        <v>100</v>
      </c>
      <c r="E43" s="230" t="s">
        <v>14</v>
      </c>
      <c r="F43" s="231">
        <v>0.01</v>
      </c>
      <c r="G43" s="129"/>
      <c r="J43"/>
      <c r="K43"/>
      <c r="L43" s="169"/>
      <c r="N43" s="116"/>
      <c r="O43" s="116"/>
      <c r="P43" s="116"/>
      <c r="Q43" s="116"/>
      <c r="R43" s="116"/>
      <c r="S43" s="116"/>
      <c r="T43" s="116"/>
      <c r="U43" s="117"/>
      <c r="V43" s="117"/>
    </row>
    <row r="44" spans="2:23" ht="46.95" customHeight="1" thickBot="1" x14ac:dyDescent="0.35">
      <c r="B44" s="227" t="s">
        <v>111</v>
      </c>
      <c r="C44" s="228" t="s">
        <v>112</v>
      </c>
      <c r="D44" s="232">
        <f>D43*PGTH/(D42-PGTH)</f>
        <v>79.999999999999986</v>
      </c>
      <c r="E44" s="233" t="s">
        <v>14</v>
      </c>
      <c r="F44" s="234"/>
      <c r="G44" s="129"/>
      <c r="H44" s="164"/>
      <c r="J44"/>
      <c r="K44"/>
      <c r="L44" s="169"/>
    </row>
    <row r="45" spans="2:23" ht="38.549999999999997" customHeight="1" thickBot="1" x14ac:dyDescent="0.35">
      <c r="B45" s="235" t="s">
        <v>146</v>
      </c>
      <c r="C45" s="236"/>
      <c r="D45" s="234"/>
      <c r="E45" s="237"/>
      <c r="F45" s="238"/>
      <c r="G45" s="129"/>
      <c r="J45"/>
      <c r="K45"/>
      <c r="L45" s="169"/>
    </row>
    <row r="46" spans="2:23" ht="38.549999999999997" customHeight="1" thickBot="1" x14ac:dyDescent="0.35">
      <c r="B46" s="239" t="s">
        <v>116</v>
      </c>
      <c r="C46" s="240" t="s">
        <v>136</v>
      </c>
      <c r="D46" s="241">
        <f>D44*L54/L53</f>
        <v>80.599999999999994</v>
      </c>
      <c r="E46" s="233" t="s">
        <v>14</v>
      </c>
      <c r="F46" s="242">
        <v>0.01</v>
      </c>
      <c r="G46" s="129"/>
      <c r="J46"/>
      <c r="K46"/>
      <c r="L46" s="169"/>
      <c r="W46" s="114"/>
    </row>
    <row r="47" spans="2:23" ht="37.950000000000003" customHeight="1" thickBot="1" x14ac:dyDescent="0.35">
      <c r="B47" s="243" t="s">
        <v>117</v>
      </c>
      <c r="C47" s="244" t="s">
        <v>122</v>
      </c>
      <c r="D47" s="245">
        <f>1.2*(D43+D46)/D46</f>
        <v>2.688833746898263</v>
      </c>
      <c r="E47" s="246" t="s">
        <v>6</v>
      </c>
      <c r="F47" s="226">
        <f>SQRT(F108^2+F43^2+F46^2)</f>
        <v>3.3166247903553998E-2</v>
      </c>
      <c r="G47" s="129"/>
      <c r="L47" s="169"/>
    </row>
    <row r="48" spans="2:23" ht="38.549999999999997" customHeight="1" thickBot="1" x14ac:dyDescent="0.35">
      <c r="B48" s="247" t="s">
        <v>118</v>
      </c>
      <c r="C48" s="248" t="s">
        <v>121</v>
      </c>
      <c r="D48" s="249">
        <f>1.1*(D43+D46)/D46</f>
        <v>2.4647642679900748</v>
      </c>
      <c r="E48" s="250" t="s">
        <v>6</v>
      </c>
      <c r="F48" s="226">
        <f>SQRT(F107^2+F43^2+F46^2)</f>
        <v>6.4567793829431716E-2</v>
      </c>
      <c r="G48" s="129" t="e">
        <f>L45*#REF!/L44</f>
        <v>#REF!</v>
      </c>
      <c r="J48" s="26"/>
      <c r="K48" s="118"/>
      <c r="L48" s="217"/>
    </row>
    <row r="49" spans="2:23" ht="38.549999999999997" customHeight="1" thickBot="1" x14ac:dyDescent="0.35">
      <c r="B49" s="227" t="s">
        <v>119</v>
      </c>
      <c r="C49" s="228" t="s">
        <v>120</v>
      </c>
      <c r="D49" s="251">
        <f>D11*1000/(D43+D46)</f>
        <v>30.454042081949058</v>
      </c>
      <c r="E49" s="252" t="s">
        <v>7</v>
      </c>
      <c r="F49" s="234"/>
      <c r="G49" s="129" t="e">
        <f>L48*#REF!/L47</f>
        <v>#REF!</v>
      </c>
      <c r="J49" s="26"/>
      <c r="K49" s="118"/>
      <c r="L49" s="217"/>
    </row>
    <row r="50" spans="2:23" ht="47.55" customHeight="1" thickBot="1" x14ac:dyDescent="0.35">
      <c r="B50"/>
      <c r="C50"/>
      <c r="D50"/>
      <c r="E50"/>
      <c r="F50"/>
      <c r="G50" s="129"/>
      <c r="J50" s="26"/>
      <c r="K50" s="272">
        <f>Icharge*(10^-3)</f>
        <v>0.01</v>
      </c>
      <c r="L50" s="273" t="s">
        <v>197</v>
      </c>
    </row>
    <row r="51" spans="2:23" s="115" customFormat="1" ht="45" customHeight="1" thickBot="1" x14ac:dyDescent="0.35">
      <c r="B51" s="284" t="s">
        <v>185</v>
      </c>
      <c r="C51" s="285"/>
      <c r="D51" s="285"/>
      <c r="E51" s="285"/>
      <c r="F51" s="286"/>
      <c r="G51" s="130"/>
      <c r="J51" s="26"/>
      <c r="K51" s="272">
        <f>Ilimit_final</f>
        <v>2.1649350649350652</v>
      </c>
      <c r="L51" s="273" t="s">
        <v>212</v>
      </c>
      <c r="M51" s="19"/>
      <c r="N51" s="19"/>
      <c r="O51" s="19"/>
      <c r="P51" s="19"/>
      <c r="Q51" s="19"/>
      <c r="R51" s="19"/>
      <c r="S51" s="19"/>
      <c r="T51" s="19"/>
      <c r="U51" s="20"/>
      <c r="V51" s="20"/>
      <c r="W51" s="99"/>
    </row>
    <row r="52" spans="2:23" ht="30.45" customHeight="1" thickBot="1" x14ac:dyDescent="0.35">
      <c r="B52" s="253" t="s">
        <v>186</v>
      </c>
      <c r="C52" s="254" t="s">
        <v>187</v>
      </c>
      <c r="D52" s="251">
        <f>3334/(Ilimit)</f>
        <v>1508.5972850678734</v>
      </c>
      <c r="E52" s="152" t="s">
        <v>36</v>
      </c>
      <c r="F52" s="255"/>
      <c r="G52" s="131"/>
      <c r="L52" s="169"/>
    </row>
    <row r="53" spans="2:23" ht="31.5" customHeight="1" thickBot="1" x14ac:dyDescent="0.35">
      <c r="B53" s="287" t="s">
        <v>188</v>
      </c>
      <c r="C53" s="288"/>
      <c r="D53" s="289"/>
      <c r="E53" s="152"/>
      <c r="F53" s="255"/>
      <c r="G53" s="131"/>
      <c r="L53" s="218">
        <f>IF(D44&gt;=10000,D44/100,IF(D44&gt;=1000,D44/10,IF(D44&gt;=100,D44,IF(D44&gt;=10,D44*10,D44*100))))</f>
        <v>799.99999999999989</v>
      </c>
    </row>
    <row r="54" spans="2:23" ht="18.600000000000001" thickBot="1" x14ac:dyDescent="0.35">
      <c r="B54" s="253" t="s">
        <v>189</v>
      </c>
      <c r="C54" s="254" t="s">
        <v>190</v>
      </c>
      <c r="D54" s="256">
        <f>G72</f>
        <v>1540</v>
      </c>
      <c r="E54" s="152" t="s">
        <v>36</v>
      </c>
      <c r="F54" s="257">
        <v>0.01</v>
      </c>
      <c r="G54" s="129"/>
      <c r="L54" s="169">
        <f>INDEX('Res EIA Tables'!E$5:E$197,2+MATCH(L53,'Res EIA Tables'!E$5:E$197))</f>
        <v>806</v>
      </c>
      <c r="M54" s="115"/>
      <c r="N54" s="115"/>
      <c r="O54" s="115"/>
      <c r="P54" s="115"/>
      <c r="Q54" s="115"/>
      <c r="R54" s="115"/>
      <c r="S54" s="115"/>
      <c r="T54" s="115"/>
      <c r="U54" s="119"/>
      <c r="V54" s="119"/>
    </row>
    <row r="55" spans="2:23" ht="25.2" customHeight="1" thickBot="1" x14ac:dyDescent="0.35">
      <c r="B55" s="253" t="s">
        <v>191</v>
      </c>
      <c r="C55" s="254" t="s">
        <v>192</v>
      </c>
      <c r="D55" s="251">
        <f>3334/D54</f>
        <v>2.1649350649350652</v>
      </c>
      <c r="E55" s="152" t="s">
        <v>4</v>
      </c>
      <c r="F55" s="258">
        <f>SQRT(0.105^2+F54^2)</f>
        <v>0.10547511554864492</v>
      </c>
      <c r="G55" s="129"/>
      <c r="L55" s="169">
        <f>IF(D30&gt;=10000,D30/100,IF(D30&gt;=1000,D30/10,IF(D30&gt;=100,D30,IF(D30&gt;=10,D30*10,D30*100))))</f>
        <v>375.99999999999989</v>
      </c>
    </row>
    <row r="56" spans="2:23" ht="18" customHeight="1" thickBot="1" x14ac:dyDescent="0.35">
      <c r="B56" s="253" t="s">
        <v>198</v>
      </c>
      <c r="C56" s="254" t="s">
        <v>199</v>
      </c>
      <c r="D56" s="251">
        <f>2*Ilimit_final</f>
        <v>4.3298701298701303</v>
      </c>
      <c r="E56" s="152" t="s">
        <v>4</v>
      </c>
      <c r="F56" s="259">
        <f>F55</f>
        <v>0.10547511554864492</v>
      </c>
      <c r="G56"/>
      <c r="L56" s="169">
        <f>INDEX('Res EIA Tables'!E$5:E$197,2+MATCH(L55,'Res EIA Tables'!E$5:E$197))</f>
        <v>383</v>
      </c>
    </row>
    <row r="57" spans="2:23" ht="18" customHeight="1" thickBot="1" x14ac:dyDescent="0.35">
      <c r="B57"/>
      <c r="C57"/>
      <c r="D57"/>
      <c r="E57"/>
      <c r="F57"/>
      <c r="G57"/>
      <c r="L57" s="169">
        <f>IF(D52&gt;=10000,D52/100,IF(D52&gt;=1000,D52/10,IF(D52&gt;=100,D52,IF(D52&gt;=10,D52*10,D52*100))))</f>
        <v>150.85972850678735</v>
      </c>
    </row>
    <row r="58" spans="2:23" ht="18" customHeight="1" thickBot="1" x14ac:dyDescent="0.35">
      <c r="B58" s="284" t="s">
        <v>85</v>
      </c>
      <c r="C58" s="285"/>
      <c r="D58" s="285"/>
      <c r="E58" s="285"/>
      <c r="F58" s="286"/>
      <c r="G58"/>
      <c r="L58" s="169">
        <f>INDEX('Res EIA Tables'!E$5:E$197,2+MATCH(L57,'Res EIA Tables'!E$5:E$197))</f>
        <v>154</v>
      </c>
      <c r="U58" s="125"/>
      <c r="V58" s="125"/>
    </row>
    <row r="59" spans="2:23" customFormat="1" ht="18" customHeight="1" x14ac:dyDescent="0.3">
      <c r="B59" s="70" t="s">
        <v>0</v>
      </c>
      <c r="C59" s="71" t="s">
        <v>1</v>
      </c>
      <c r="D59" s="72" t="s">
        <v>2</v>
      </c>
      <c r="E59" s="73" t="s">
        <v>3</v>
      </c>
      <c r="F59" s="74" t="s">
        <v>50</v>
      </c>
    </row>
    <row r="60" spans="2:23" customFormat="1" ht="18" customHeight="1" x14ac:dyDescent="0.3">
      <c r="B60" s="48" t="s">
        <v>86</v>
      </c>
      <c r="C60" s="49" t="s">
        <v>124</v>
      </c>
      <c r="D60" s="85">
        <v>2.2000000000000002</v>
      </c>
      <c r="E60" s="23" t="s">
        <v>7</v>
      </c>
      <c r="F60" s="88">
        <v>0.104</v>
      </c>
    </row>
    <row r="61" spans="2:23" customFormat="1" ht="31.05" customHeight="1" x14ac:dyDescent="0.3">
      <c r="B61" s="48" t="s">
        <v>69</v>
      </c>
      <c r="C61" s="49" t="s">
        <v>193</v>
      </c>
      <c r="D61" s="85">
        <f>Cout*(Vcc_max/D62)/1000</f>
        <v>0.23063214173393437</v>
      </c>
      <c r="E61" s="23" t="s">
        <v>4</v>
      </c>
      <c r="F61" s="61"/>
    </row>
    <row r="62" spans="2:23" customFormat="1" ht="18" customHeight="1" x14ac:dyDescent="0.3">
      <c r="B62" s="48" t="s">
        <v>88</v>
      </c>
      <c r="C62" s="49" t="s">
        <v>87</v>
      </c>
      <c r="D62" s="85">
        <f>-0.0007*(Vcc_max^2) + 0.0301*Vcc_max + 0.0941</f>
        <v>0.23847499999999999</v>
      </c>
      <c r="E62" s="23" t="s">
        <v>5</v>
      </c>
      <c r="F62" s="88">
        <v>0.15</v>
      </c>
    </row>
    <row r="63" spans="2:23" customFormat="1" ht="18" customHeight="1" x14ac:dyDescent="0.3">
      <c r="B63" s="48" t="s">
        <v>44</v>
      </c>
      <c r="C63" s="49" t="s">
        <v>45</v>
      </c>
      <c r="D63" s="98">
        <v>5</v>
      </c>
      <c r="E63" s="23" t="s">
        <v>5</v>
      </c>
      <c r="F63" s="61"/>
    </row>
    <row r="64" spans="2:23" customFormat="1" ht="18" customHeight="1" x14ac:dyDescent="0.3">
      <c r="B64" s="48" t="s">
        <v>46</v>
      </c>
      <c r="C64" s="49" t="s">
        <v>70</v>
      </c>
      <c r="D64" s="98">
        <v>1</v>
      </c>
      <c r="E64" s="23" t="s">
        <v>4</v>
      </c>
      <c r="F64" s="61"/>
    </row>
    <row r="65" spans="2:23" customFormat="1" ht="18" customHeight="1" x14ac:dyDescent="0.3">
      <c r="B65" s="48" t="s">
        <v>75</v>
      </c>
      <c r="C65" s="49" t="s">
        <v>73</v>
      </c>
      <c r="D65" s="142">
        <f>IF(Tchg_req&lt;D62,    0,  (2000*Tchg_req/Vcc_max))</f>
        <v>1818.1818181818182</v>
      </c>
      <c r="E65" s="23" t="s">
        <v>43</v>
      </c>
      <c r="F65" s="61"/>
    </row>
    <row r="66" spans="2:23" customFormat="1" ht="18" customHeight="1" x14ac:dyDescent="0.3">
      <c r="B66" s="48" t="s">
        <v>76</v>
      </c>
      <c r="C66" s="49" t="s">
        <v>74</v>
      </c>
      <c r="D66" s="142">
        <f>(2000*Cout/Icharge_req/1000)</f>
        <v>20</v>
      </c>
      <c r="E66" s="23" t="s">
        <v>43</v>
      </c>
      <c r="F66" s="61"/>
    </row>
    <row r="67" spans="2:23" customFormat="1" ht="18" customHeight="1" x14ac:dyDescent="0.3">
      <c r="B67" s="281" t="s">
        <v>77</v>
      </c>
      <c r="C67" s="282"/>
      <c r="D67" s="283"/>
      <c r="E67" s="23"/>
      <c r="F67" s="61"/>
    </row>
    <row r="68" spans="2:23" customFormat="1" ht="18" customHeight="1" x14ac:dyDescent="0.3">
      <c r="B68" s="48" t="s">
        <v>78</v>
      </c>
      <c r="C68" s="49" t="s">
        <v>106</v>
      </c>
      <c r="D68" s="143">
        <f>G87</f>
        <v>2</v>
      </c>
      <c r="E68" s="23" t="s">
        <v>135</v>
      </c>
      <c r="F68" s="124">
        <v>0.1</v>
      </c>
    </row>
    <row r="69" spans="2:23" customFormat="1" ht="18" customHeight="1" x14ac:dyDescent="0.3">
      <c r="B69" s="48" t="s">
        <v>47</v>
      </c>
      <c r="C69" s="49" t="s">
        <v>80</v>
      </c>
      <c r="D69" s="144">
        <f>IF(Cdvdt_ext="OPEN",D61*1000,(Cout*2000/Cdvdt_ext/1000))</f>
        <v>10</v>
      </c>
      <c r="E69" s="22" t="s">
        <v>125</v>
      </c>
      <c r="F69" s="83">
        <f>SQRT(F71^2+F15^2)</f>
        <v>0.14142135623730953</v>
      </c>
      <c r="K69" s="272"/>
      <c r="L69" s="273"/>
    </row>
    <row r="70" spans="2:23" customFormat="1" ht="18" customHeight="1" x14ac:dyDescent="0.3">
      <c r="B70" s="48" t="s">
        <v>194</v>
      </c>
      <c r="C70" s="49"/>
      <c r="D70" s="213" t="b">
        <f>((Icharge*(10^-3)+Vcc_max/Rlstart) &gt;= Ilimit_final)</f>
        <v>0</v>
      </c>
      <c r="E70" s="22"/>
      <c r="F70" s="29"/>
      <c r="K70" s="272"/>
      <c r="L70" s="273"/>
    </row>
    <row r="71" spans="2:23" customFormat="1" ht="18" customHeight="1" x14ac:dyDescent="0.3">
      <c r="B71" s="48" t="s">
        <v>133</v>
      </c>
      <c r="C71" s="49" t="s">
        <v>134</v>
      </c>
      <c r="D71" s="144">
        <f>IF(D70, G88, IF(Cdvdt_ext="OPEN",D62,Vcc_max*Cdvdt_ext*1000/2000))</f>
        <v>5.5</v>
      </c>
      <c r="E71" s="22" t="s">
        <v>5</v>
      </c>
      <c r="F71" s="83">
        <f>F68</f>
        <v>0.1</v>
      </c>
    </row>
    <row r="72" spans="2:23" customFormat="1" ht="18" customHeight="1" thickBot="1" x14ac:dyDescent="0.35">
      <c r="B72" s="58" t="s">
        <v>81</v>
      </c>
      <c r="C72" s="59" t="s">
        <v>48</v>
      </c>
      <c r="D72" s="82">
        <f>0.5*Vcc_max*Icharge/10^3</f>
        <v>2.75E-2</v>
      </c>
      <c r="E72" s="69" t="s">
        <v>20</v>
      </c>
      <c r="F72" s="46"/>
      <c r="G72" s="219">
        <f>L58/L57*D52</f>
        <v>1540</v>
      </c>
    </row>
    <row r="73" spans="2:23" customFormat="1" ht="18" customHeight="1" thickBot="1" x14ac:dyDescent="0.35">
      <c r="B73" s="19"/>
      <c r="C73" s="34"/>
      <c r="D73" s="18"/>
      <c r="E73" s="19"/>
      <c r="F73" s="20"/>
    </row>
    <row r="74" spans="2:23" customFormat="1" ht="18" customHeight="1" thickBot="1" x14ac:dyDescent="0.35">
      <c r="B74" s="284" t="s">
        <v>34</v>
      </c>
      <c r="C74" s="285"/>
      <c r="D74" s="285"/>
      <c r="E74" s="285"/>
      <c r="F74" s="286"/>
    </row>
    <row r="75" spans="2:23" ht="15.6" x14ac:dyDescent="0.3">
      <c r="B75" s="137" t="s">
        <v>37</v>
      </c>
      <c r="C75" s="60" t="s">
        <v>49</v>
      </c>
      <c r="D75" s="145">
        <f>(Vcc_max^2/Rlstart)*(1/6-(D17^2/2/Vcc_max^2)+(D17^3/3/Vcc_max^3))</f>
        <v>5.0416666666666665E-3</v>
      </c>
      <c r="E75" s="67" t="s">
        <v>20</v>
      </c>
      <c r="F75" s="138"/>
      <c r="G75" s="129"/>
      <c r="U75" s="162"/>
      <c r="V75" s="162"/>
    </row>
    <row r="76" spans="2:23" ht="21.6" customHeight="1" x14ac:dyDescent="0.3">
      <c r="B76" s="48" t="s">
        <v>39</v>
      </c>
      <c r="C76" s="49" t="s">
        <v>38</v>
      </c>
      <c r="D76" s="146">
        <f>D72+D75</f>
        <v>3.2541666666666663E-2</v>
      </c>
      <c r="E76" s="23" t="s">
        <v>20</v>
      </c>
      <c r="F76" s="61"/>
      <c r="G76" s="129"/>
      <c r="I76" s="26"/>
      <c r="W76" s="114"/>
    </row>
    <row r="77" spans="2:23" ht="18" customHeight="1" x14ac:dyDescent="0.3">
      <c r="B77" s="155"/>
      <c r="C77" s="156" t="s">
        <v>206</v>
      </c>
      <c r="D77" s="267" t="str">
        <f>IF(Vcc_max&lt;=5.6,IF(D21&lt;=25,AA98,IF(D21&lt;=85,AA97,IF(D21&lt;=125,AA99))),IF(D21&lt;=25,AF96,IF(D21&lt;=85,AA96,IF(D21&lt;=125,AL96))))</f>
        <v>YES</v>
      </c>
      <c r="E77" s="268"/>
      <c r="F77" s="268"/>
      <c r="G77" s="129"/>
      <c r="W77" s="114"/>
    </row>
    <row r="78" spans="2:23" ht="18" customHeight="1" x14ac:dyDescent="0.3">
      <c r="B78" s="167" t="s">
        <v>148</v>
      </c>
      <c r="C78" s="167"/>
      <c r="D78" s="168" t="str">
        <f>IF(Vcc_max&gt;=5.6,IF(D77="YES","    We recommend verify startup on EVM for particular system test case"," ")," ")</f>
        <v xml:space="preserve"> </v>
      </c>
      <c r="E78" s="168"/>
      <c r="F78" s="168"/>
      <c r="G78" s="271"/>
      <c r="H78" s="271"/>
      <c r="I78" s="271"/>
      <c r="W78" s="114"/>
    </row>
    <row r="79" spans="2:23" s="115" customFormat="1" ht="31.5" customHeight="1" x14ac:dyDescent="0.3">
      <c r="B79"/>
      <c r="C79"/>
      <c r="D79"/>
      <c r="E79" s="161"/>
      <c r="F79" s="161"/>
      <c r="G79" s="133"/>
      <c r="M79" s="19"/>
      <c r="N79" s="19"/>
      <c r="O79" s="19"/>
      <c r="P79" s="19"/>
      <c r="Q79" s="19"/>
      <c r="R79" s="19"/>
      <c r="S79" s="19"/>
      <c r="T79" s="19"/>
      <c r="U79" s="20"/>
      <c r="V79" s="20"/>
      <c r="W79" s="99"/>
    </row>
    <row r="80" spans="2:23" s="115" customFormat="1" ht="32.4" customHeight="1" x14ac:dyDescent="0.3">
      <c r="B80"/>
      <c r="C80"/>
      <c r="D80"/>
      <c r="E80" s="163"/>
      <c r="F80" s="163"/>
      <c r="H80" s="129"/>
      <c r="M80" s="19"/>
      <c r="N80" s="19"/>
      <c r="O80" s="19"/>
      <c r="P80" s="19"/>
      <c r="Q80" s="19"/>
      <c r="R80" s="19"/>
      <c r="S80" s="19"/>
      <c r="T80" s="19"/>
      <c r="U80" s="20"/>
      <c r="V80" s="20"/>
      <c r="W80" s="99"/>
    </row>
    <row r="81" spans="2:45" s="115" customFormat="1" ht="18" customHeight="1" x14ac:dyDescent="0.3">
      <c r="B81"/>
      <c r="C81"/>
      <c r="D81"/>
      <c r="E81" s="163"/>
      <c r="F81" s="163"/>
      <c r="G81" s="134"/>
      <c r="L81" s="120"/>
      <c r="M81" s="19"/>
      <c r="N81" s="19"/>
      <c r="O81" s="19"/>
      <c r="P81" s="19"/>
      <c r="Q81" s="19"/>
      <c r="R81" s="19"/>
      <c r="S81" s="19"/>
      <c r="T81" s="19"/>
      <c r="U81" s="20"/>
      <c r="V81" s="20"/>
      <c r="W81" s="99"/>
    </row>
    <row r="82" spans="2:45" ht="18" customHeight="1" x14ac:dyDescent="0.3">
      <c r="B82"/>
      <c r="C82"/>
      <c r="D82"/>
      <c r="E82" s="163"/>
      <c r="F82" s="163"/>
      <c r="G82" s="129"/>
      <c r="M82" s="120"/>
      <c r="N82" s="115"/>
      <c r="O82" s="115"/>
      <c r="P82" s="115"/>
      <c r="Q82" s="115"/>
      <c r="R82" s="115"/>
      <c r="S82" s="115"/>
      <c r="T82" s="115"/>
      <c r="U82" s="119"/>
      <c r="V82" s="119"/>
    </row>
    <row r="83" spans="2:45" ht="18" customHeight="1" thickBot="1" x14ac:dyDescent="0.35">
      <c r="G83" s="129"/>
      <c r="M83" s="120"/>
      <c r="N83" s="115"/>
      <c r="O83" s="115"/>
      <c r="P83" s="115"/>
      <c r="Q83" s="115"/>
      <c r="R83" s="115"/>
      <c r="S83" s="115"/>
      <c r="T83" s="115"/>
      <c r="U83" s="119"/>
      <c r="V83" s="119"/>
      <c r="Y83" s="169"/>
      <c r="Z83" s="169"/>
      <c r="AA83" s="169"/>
      <c r="AB83" s="169"/>
      <c r="AC83" s="169"/>
      <c r="AD83" s="169"/>
      <c r="AE83" s="169"/>
      <c r="AF83" s="169"/>
      <c r="AG83" s="169"/>
      <c r="AH83" s="169"/>
      <c r="AI83" s="169"/>
      <c r="AJ83" s="169"/>
      <c r="AK83" s="169"/>
      <c r="AL83" s="169"/>
      <c r="AM83" s="169"/>
      <c r="AN83" s="169"/>
      <c r="AO83" s="169"/>
      <c r="AP83" s="169"/>
      <c r="AQ83" s="169"/>
      <c r="AR83" s="169"/>
      <c r="AS83" s="169"/>
    </row>
    <row r="84" spans="2:45" ht="18" customHeight="1" thickBot="1" x14ac:dyDescent="0.35">
      <c r="B84" s="284" t="s">
        <v>33</v>
      </c>
      <c r="C84" s="285"/>
      <c r="D84" s="285"/>
      <c r="E84" s="291"/>
      <c r="F84" s="68"/>
      <c r="G84" s="129"/>
      <c r="M84" s="120"/>
      <c r="N84" s="115"/>
      <c r="O84" s="115"/>
      <c r="P84" s="115"/>
      <c r="Q84" s="115"/>
      <c r="R84" s="115"/>
      <c r="S84" s="115"/>
      <c r="T84" s="115"/>
      <c r="U84" s="261"/>
      <c r="V84" s="261"/>
      <c r="W84" s="262"/>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row>
    <row r="85" spans="2:45" ht="18" customHeight="1" x14ac:dyDescent="0.3">
      <c r="B85" s="70" t="s">
        <v>0</v>
      </c>
      <c r="C85" s="71" t="s">
        <v>1</v>
      </c>
      <c r="D85" s="72" t="s">
        <v>2</v>
      </c>
      <c r="E85" s="73" t="s">
        <v>3</v>
      </c>
      <c r="F85" s="74" t="s">
        <v>50</v>
      </c>
      <c r="G85" s="153">
        <f>(MAX(D65,D66))/1000</f>
        <v>1.8181818181818183</v>
      </c>
      <c r="J85" s="34"/>
      <c r="U85" s="263"/>
      <c r="V85" s="263"/>
      <c r="W85" s="262"/>
      <c r="X85" s="169"/>
      <c r="Y85" s="169"/>
      <c r="Z85" s="169"/>
      <c r="AA85" s="169"/>
      <c r="AB85" s="169"/>
      <c r="AC85" s="169"/>
      <c r="AD85" s="169">
        <f>Y95-AB93</f>
        <v>0.18452916666666663</v>
      </c>
      <c r="AE85" s="169"/>
      <c r="AF85" s="169"/>
      <c r="AG85" s="169"/>
      <c r="AH85" s="169"/>
      <c r="AI85" s="169"/>
      <c r="AJ85" s="169"/>
      <c r="AK85" s="169"/>
      <c r="AL85" s="169"/>
      <c r="AM85" s="169"/>
      <c r="AN85" s="169"/>
      <c r="AO85" s="169"/>
      <c r="AP85" s="169"/>
      <c r="AQ85" s="169"/>
      <c r="AR85" s="169"/>
      <c r="AS85" s="169"/>
    </row>
    <row r="86" spans="2:45" ht="18" customHeight="1" x14ac:dyDescent="0.3">
      <c r="B86" s="48" t="s">
        <v>25</v>
      </c>
      <c r="C86" s="49" t="s">
        <v>27</v>
      </c>
      <c r="D86" s="146">
        <f>Imax*Rdson_25deg</f>
        <v>62</v>
      </c>
      <c r="E86" s="22" t="s">
        <v>26</v>
      </c>
      <c r="F86" s="29"/>
      <c r="G86" s="127"/>
      <c r="U86" s="263">
        <f>D72+D75</f>
        <v>3.2541666666666663E-2</v>
      </c>
      <c r="V86" s="263">
        <f>AB93/I93</f>
        <v>5.5500000000000001E-2</v>
      </c>
      <c r="W86" s="262"/>
      <c r="X86" s="169"/>
      <c r="Y86" s="169"/>
      <c r="Z86" s="169"/>
      <c r="AA86" s="169"/>
      <c r="AB86" s="169"/>
      <c r="AC86" s="169"/>
      <c r="AD86" s="169">
        <f>(23.97*Tchg_dvdt^(-0.33)*Tchg_dvdt)-AB93</f>
        <v>75.117845738293028</v>
      </c>
      <c r="AE86" s="169"/>
      <c r="AF86" s="169"/>
      <c r="AG86" s="169"/>
      <c r="AH86" s="169"/>
      <c r="AI86" s="169"/>
      <c r="AJ86" s="169"/>
      <c r="AK86" s="169"/>
      <c r="AL86" s="169"/>
      <c r="AM86" s="169"/>
      <c r="AN86" s="169"/>
      <c r="AO86" s="169"/>
      <c r="AP86" s="169"/>
      <c r="AQ86" s="169"/>
      <c r="AR86" s="169"/>
      <c r="AS86" s="169"/>
    </row>
    <row r="87" spans="2:45" ht="16.8" customHeight="1" thickBot="1" x14ac:dyDescent="0.35">
      <c r="B87" s="58" t="s">
        <v>71</v>
      </c>
      <c r="C87" s="59" t="s">
        <v>28</v>
      </c>
      <c r="D87" s="147">
        <f>Imax^2*Rdson_25deg</f>
        <v>124</v>
      </c>
      <c r="E87" s="69" t="s">
        <v>29</v>
      </c>
      <c r="F87" s="46"/>
      <c r="G87" s="127">
        <f>IF(G85&gt;1,INDEX('Cap Tables'!B4:B75,1+MATCH(G85,'Cap Tables'!B4:B75)),(INDEX('Cap Tables'!A4:A75,1+MATCH(G85*10,'Cap Tables'!A4:A75))/10))</f>
        <v>2</v>
      </c>
      <c r="U87" s="263"/>
      <c r="V87" s="263"/>
      <c r="W87" s="262"/>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row>
    <row r="88" spans="2:45" ht="16.8" customHeight="1" thickBot="1" x14ac:dyDescent="0.35">
      <c r="B88" s="24"/>
      <c r="C88" s="36"/>
      <c r="E88" s="25"/>
      <c r="G88" s="132">
        <f>Cout*0.001*Rlstart*(Ilimit_final/Icharge -1+LN(Icharge/(Ilimit_final-Vcc_max/Rlstart)))</f>
        <v>7.4923195601162229</v>
      </c>
      <c r="U88" s="263"/>
      <c r="V88" s="263"/>
      <c r="W88" s="262"/>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row>
    <row r="89" spans="2:45" ht="16.8" customHeight="1" thickBot="1" x14ac:dyDescent="0.35">
      <c r="B89" s="284" t="s">
        <v>167</v>
      </c>
      <c r="C89" s="285"/>
      <c r="D89" s="285"/>
      <c r="E89" s="291"/>
      <c r="F89" s="188"/>
      <c r="U89" s="263"/>
      <c r="V89" s="263"/>
      <c r="W89" s="262"/>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row>
    <row r="90" spans="2:45" ht="18.600000000000001" thickBot="1" x14ac:dyDescent="0.35">
      <c r="B90" s="190" t="s">
        <v>0</v>
      </c>
      <c r="C90" s="191" t="s">
        <v>1</v>
      </c>
      <c r="D90" s="192" t="s">
        <v>2</v>
      </c>
      <c r="E90" s="193" t="s">
        <v>3</v>
      </c>
      <c r="F90" s="190" t="s">
        <v>50</v>
      </c>
      <c r="G90" s="130"/>
      <c r="U90" s="263"/>
      <c r="V90" s="263"/>
      <c r="W90" s="262"/>
      <c r="X90" s="169"/>
      <c r="Y90" s="169"/>
      <c r="Z90" s="169">
        <f>23.97*Tchg_dvdt^(-0.33)*Tchg_dvdt*0.8</f>
        <v>60.089836590634427</v>
      </c>
      <c r="AA90" s="169"/>
      <c r="AB90" s="169"/>
      <c r="AC90" s="169"/>
      <c r="AD90" s="169"/>
      <c r="AE90" s="169"/>
      <c r="AF90" s="169"/>
      <c r="AG90" s="169"/>
      <c r="AH90" s="169"/>
      <c r="AI90" s="169"/>
      <c r="AJ90" s="169"/>
      <c r="AK90" s="169"/>
      <c r="AL90" s="169"/>
      <c r="AM90" s="169"/>
      <c r="AN90" s="169"/>
      <c r="AO90" s="169"/>
      <c r="AP90" s="169"/>
      <c r="AQ90" s="169"/>
      <c r="AR90" s="169"/>
      <c r="AS90" s="169"/>
    </row>
    <row r="91" spans="2:45" ht="18" customHeight="1" thickBot="1" x14ac:dyDescent="0.35">
      <c r="B91" s="150" t="s">
        <v>169</v>
      </c>
      <c r="C91" s="151" t="s">
        <v>168</v>
      </c>
      <c r="D91" s="189">
        <f>D20*1.8/1.5</f>
        <v>2.4</v>
      </c>
      <c r="E91" s="152" t="s">
        <v>8</v>
      </c>
      <c r="F91" s="194"/>
      <c r="G91" s="132"/>
      <c r="U91" s="263"/>
      <c r="V91" s="263"/>
      <c r="W91" s="262"/>
      <c r="X91" s="169"/>
      <c r="Y91" s="169"/>
      <c r="Z91" s="169">
        <f>37.14*Tchg_dvdt^(-0.31)*Tchg_dvdt*0.51</f>
        <v>61.413285397849485</v>
      </c>
      <c r="AA91" s="169"/>
      <c r="AB91" s="169"/>
      <c r="AC91" s="169"/>
      <c r="AD91" s="169"/>
      <c r="AE91" s="169"/>
      <c r="AF91" s="169"/>
      <c r="AG91" s="169"/>
      <c r="AH91" s="169"/>
      <c r="AI91" s="169"/>
      <c r="AJ91" s="169"/>
      <c r="AK91" s="169"/>
      <c r="AL91" s="169"/>
      <c r="AM91" s="169"/>
      <c r="AN91" s="169"/>
      <c r="AO91" s="169"/>
      <c r="AP91" s="169"/>
      <c r="AQ91" s="169"/>
      <c r="AR91" s="169"/>
      <c r="AS91" s="169"/>
    </row>
    <row r="92" spans="2:45" ht="20.25" customHeight="1" thickBot="1" x14ac:dyDescent="0.35">
      <c r="B92" s="150" t="s">
        <v>170</v>
      </c>
      <c r="C92" s="151" t="s">
        <v>200</v>
      </c>
      <c r="D92" s="266">
        <f>G110</f>
        <v>2.7</v>
      </c>
      <c r="E92" s="152" t="s">
        <v>8</v>
      </c>
      <c r="F92" s="195">
        <v>0.1</v>
      </c>
      <c r="G92" s="130"/>
      <c r="K92"/>
      <c r="U92" s="263"/>
      <c r="V92" s="263"/>
      <c r="W92" s="262"/>
      <c r="X92" s="169"/>
      <c r="Y92" s="169" t="s">
        <v>144</v>
      </c>
      <c r="Z92" s="169" t="s">
        <v>145</v>
      </c>
      <c r="AA92" s="169" t="s">
        <v>147</v>
      </c>
      <c r="AB92" s="169"/>
      <c r="AC92" s="169"/>
      <c r="AD92" s="169"/>
      <c r="AE92" s="169"/>
      <c r="AF92" s="169"/>
      <c r="AG92" s="169"/>
      <c r="AH92" s="169"/>
      <c r="AI92" s="169"/>
      <c r="AJ92" s="169"/>
      <c r="AK92" s="169"/>
      <c r="AL92" s="169"/>
      <c r="AM92" s="169"/>
      <c r="AN92" s="169"/>
      <c r="AO92" s="169"/>
      <c r="AP92" s="169"/>
      <c r="AQ92" s="169"/>
      <c r="AR92" s="169"/>
      <c r="AS92" s="169"/>
    </row>
    <row r="93" spans="2:45" ht="18" customHeight="1" thickBot="1" x14ac:dyDescent="0.35">
      <c r="B93" s="150" t="s">
        <v>171</v>
      </c>
      <c r="C93" s="151" t="s">
        <v>172</v>
      </c>
      <c r="D93" s="189">
        <f>D92*1.5/1.8</f>
        <v>2.2500000000000004</v>
      </c>
      <c r="E93" s="152" t="s">
        <v>5</v>
      </c>
      <c r="F93" s="194"/>
      <c r="G93" s="127"/>
      <c r="H93"/>
      <c r="I93" s="218">
        <f>(Vcc_max-5.6)*Tchg_dvdt/Vcc_max</f>
        <v>-9.9999999999999645E-2</v>
      </c>
      <c r="J93"/>
      <c r="K93"/>
      <c r="L93"/>
      <c r="M93" s="165"/>
      <c r="N93"/>
      <c r="O93"/>
      <c r="P93"/>
      <c r="Q93" s="165"/>
      <c r="R93" s="165"/>
      <c r="S93" s="165"/>
      <c r="T93" s="165"/>
      <c r="U93" s="219"/>
      <c r="V93" s="264"/>
      <c r="W93" s="262"/>
      <c r="X93" s="169"/>
      <c r="Y93" s="169">
        <f>0.5*Vcc_max*Icharge/10^3*Tchg_dvdt</f>
        <v>0.15125</v>
      </c>
      <c r="Z93" s="169">
        <f>13.312*Tchg_dvdt^(-0.4)*Tchg_dvdt*0.8</f>
        <v>29.617671345460963</v>
      </c>
      <c r="AA93" s="169">
        <f>0.5*(Vcc_max+5.6)*Icharge/10^3*I93</f>
        <v>-5.5499999999999803E-3</v>
      </c>
      <c r="AB93" s="169">
        <f>IF(D17&lt;Vcc_max-5.6,AA95,AA93)</f>
        <v>-5.5499999999999803E-3</v>
      </c>
      <c r="AC93" s="169"/>
      <c r="AD93" s="169"/>
      <c r="AE93" s="169"/>
      <c r="AF93" s="169"/>
      <c r="AG93" s="169"/>
      <c r="AH93" s="169"/>
      <c r="AI93" s="169"/>
      <c r="AJ93" s="169"/>
      <c r="AK93" s="169"/>
      <c r="AL93" s="169"/>
      <c r="AM93" s="169"/>
      <c r="AN93" s="169"/>
      <c r="AO93" s="169"/>
      <c r="AP93" s="169"/>
      <c r="AQ93" s="169"/>
      <c r="AR93" s="169"/>
      <c r="AS93" s="169"/>
    </row>
    <row r="94" spans="2:45" ht="21.45" customHeight="1" x14ac:dyDescent="0.3">
      <c r="E94" s="25"/>
      <c r="G94" s="127"/>
      <c r="I94"/>
      <c r="J94"/>
      <c r="K94"/>
      <c r="L94"/>
      <c r="M94" s="165"/>
      <c r="N94"/>
      <c r="O94"/>
      <c r="P94"/>
      <c r="Q94" s="165"/>
      <c r="R94" s="165"/>
      <c r="S94" s="165"/>
      <c r="T94" s="165"/>
      <c r="U94" s="264"/>
      <c r="V94" s="264"/>
      <c r="W94" s="262"/>
      <c r="X94" s="169"/>
      <c r="Y94" s="169">
        <f>(Vcc_max^2/Rlstart)*(1/6-(D17^2/2/Vcc_max^2)+(D17^3/3/Vcc_max^3))*Tchg_dvdt</f>
        <v>2.7729166666666666E-2</v>
      </c>
      <c r="Z94" s="169" t="e">
        <f>30.81*I93^(-0.31)*I93*0.8</f>
        <v>#NUM!</v>
      </c>
      <c r="AA94" s="169">
        <f>(Tchg_dvdt/Rlstart)*(((Vcc_max-5.6)^2/2)-((Vcc_max-5.6)^3/3/Vcc_max)-(D17^2/2)+(D17^3/3/Vcc_max))</f>
        <v>2.783333333333313E-5</v>
      </c>
      <c r="AB94" s="169"/>
      <c r="AC94" s="169"/>
      <c r="AD94" s="169"/>
      <c r="AE94" s="169"/>
      <c r="AF94" s="169"/>
      <c r="AG94" s="169"/>
      <c r="AH94" s="169"/>
      <c r="AI94" s="169"/>
      <c r="AJ94" s="169"/>
      <c r="AK94" s="169"/>
      <c r="AL94" s="169"/>
      <c r="AM94" s="169"/>
      <c r="AN94" s="169"/>
      <c r="AO94" s="169"/>
      <c r="AP94" s="169"/>
      <c r="AQ94" s="169"/>
      <c r="AR94" s="169"/>
      <c r="AS94" s="169"/>
    </row>
    <row r="95" spans="2:45" ht="25.95" customHeight="1" x14ac:dyDescent="0.3">
      <c r="B95" s="290" t="s">
        <v>15</v>
      </c>
      <c r="C95" s="290"/>
      <c r="D95" s="26"/>
      <c r="G95" s="270"/>
      <c r="H95" s="270"/>
      <c r="I95" s="270"/>
      <c r="J95" s="270"/>
      <c r="L95"/>
      <c r="M95" s="165"/>
      <c r="N95" s="165"/>
      <c r="O95" s="165"/>
      <c r="P95" s="165"/>
      <c r="Q95" s="165"/>
      <c r="R95" s="165"/>
      <c r="S95" s="165"/>
      <c r="T95" s="165"/>
      <c r="U95" s="264"/>
      <c r="V95" s="264"/>
      <c r="W95" s="262"/>
      <c r="X95" s="169"/>
      <c r="Y95" s="169">
        <f>Y93+Y94</f>
        <v>0.17897916666666666</v>
      </c>
      <c r="Z95" s="169"/>
      <c r="AA95" s="169">
        <f>AA93+AA94</f>
        <v>-5.5221666666666475E-3</v>
      </c>
      <c r="AB95" s="169"/>
      <c r="AC95" s="169"/>
      <c r="AD95" s="169"/>
      <c r="AE95" s="169"/>
      <c r="AF95" s="169"/>
      <c r="AG95" s="169"/>
      <c r="AH95" s="169"/>
      <c r="AI95" s="169"/>
      <c r="AJ95" s="169"/>
      <c r="AK95" s="169"/>
      <c r="AL95" s="169"/>
      <c r="AM95" s="169"/>
      <c r="AN95" s="169"/>
      <c r="AO95" s="169"/>
      <c r="AP95" s="169"/>
      <c r="AQ95" s="169"/>
      <c r="AR95" s="169"/>
      <c r="AS95" s="169"/>
    </row>
    <row r="96" spans="2:45" ht="16.2" customHeight="1" x14ac:dyDescent="0.3">
      <c r="B96" s="32" t="s">
        <v>24</v>
      </c>
      <c r="D96" s="26"/>
      <c r="G96"/>
      <c r="H96"/>
      <c r="I96"/>
      <c r="J96" s="269"/>
      <c r="L96"/>
      <c r="M96"/>
      <c r="N96"/>
      <c r="U96" s="263"/>
      <c r="V96" s="263"/>
      <c r="W96" s="262"/>
      <c r="X96" s="169"/>
      <c r="Y96" s="169"/>
      <c r="Z96" s="169"/>
      <c r="AA96" s="265" t="e">
        <f>IF(AB93&lt;Z94,IF(Y95&lt;Z90,"YES","NO, Increase Rlstart and/or Tchg_req; and/or Reduce Cout"),"NO, Increase Rlstart and/or Tchg_req; and/or Reduce Cout")</f>
        <v>#NUM!</v>
      </c>
      <c r="AB96" s="169"/>
      <c r="AC96" s="169"/>
      <c r="AD96" s="169"/>
      <c r="AE96" s="169"/>
      <c r="AF96" s="169" t="e">
        <f>IF(AB93&lt;Z94,IF(Y95&lt;Z91,"YES","NO, Increase Rlstart and/or Tchg_req; and/or Reduce Cout"),"NO, Increase Rlstart and/or Tchg_req; and/or Reduce Cout")</f>
        <v>#NUM!</v>
      </c>
      <c r="AG96" s="169"/>
      <c r="AH96" s="169"/>
      <c r="AI96" s="169"/>
      <c r="AJ96" s="169"/>
      <c r="AK96" s="169"/>
      <c r="AL96" s="169" t="e">
        <f>IF(AB93&lt;Z94,IF(Y95&lt;Z93,"YES","NO, Increase Rlstart and/or Tchg_req; and/or Reduce Cout"),"NO, Increase Rlstart and/or Tchg_req; and/or Reduce Cout")</f>
        <v>#NUM!</v>
      </c>
      <c r="AM96" s="169"/>
      <c r="AN96" s="169"/>
      <c r="AO96" s="169"/>
      <c r="AP96" s="169"/>
      <c r="AQ96" s="169"/>
      <c r="AR96" s="169"/>
      <c r="AS96" s="169"/>
    </row>
    <row r="97" spans="2:45" ht="16.2" customHeight="1" x14ac:dyDescent="0.3">
      <c r="B97" s="30" t="s">
        <v>0</v>
      </c>
      <c r="C97" s="37" t="s">
        <v>1</v>
      </c>
      <c r="D97" s="31" t="s">
        <v>2</v>
      </c>
      <c r="E97" s="30" t="s">
        <v>3</v>
      </c>
      <c r="F97" s="30" t="s">
        <v>50</v>
      </c>
      <c r="G97" s="161"/>
      <c r="H97" s="161"/>
      <c r="I97" s="161"/>
      <c r="J97" s="161"/>
      <c r="L97" s="160"/>
      <c r="M97" s="160"/>
      <c r="U97" s="263"/>
      <c r="V97" s="263"/>
      <c r="W97" s="262"/>
      <c r="X97" s="169"/>
      <c r="Y97" s="169"/>
      <c r="Z97" s="169"/>
      <c r="AA97" s="265" t="str">
        <f>IF(Y95&lt;Z90,"YES","NO, Increase Rlstart and/or Tchg_req; and/or Reduce Cout")</f>
        <v>YES</v>
      </c>
      <c r="AB97" s="169"/>
      <c r="AC97" s="169"/>
      <c r="AD97" s="169"/>
      <c r="AE97" s="169"/>
      <c r="AF97" s="169"/>
      <c r="AG97" s="169"/>
      <c r="AH97" s="169"/>
      <c r="AI97" s="169"/>
      <c r="AJ97" s="169"/>
      <c r="AK97" s="169"/>
      <c r="AL97" s="169"/>
      <c r="AM97" s="169"/>
      <c r="AN97" s="169"/>
      <c r="AO97" s="169"/>
      <c r="AP97" s="169"/>
      <c r="AQ97" s="169"/>
      <c r="AR97" s="169"/>
      <c r="AS97" s="169"/>
    </row>
    <row r="98" spans="2:45" ht="16.2" customHeight="1" x14ac:dyDescent="0.3">
      <c r="B98" s="91" t="s">
        <v>141</v>
      </c>
      <c r="C98" s="78" t="s">
        <v>207</v>
      </c>
      <c r="D98" s="92">
        <v>6.5</v>
      </c>
      <c r="E98" s="22" t="s">
        <v>6</v>
      </c>
      <c r="F98" s="89"/>
      <c r="G98" s="163"/>
      <c r="H98" s="163"/>
      <c r="I98" s="163"/>
      <c r="J98" s="163"/>
      <c r="L98" s="162"/>
      <c r="M98" s="162"/>
      <c r="U98" s="263"/>
      <c r="V98" s="263"/>
      <c r="W98" s="262"/>
      <c r="X98" s="169"/>
      <c r="Y98" s="169">
        <f>0.5*Vcc_max*Icharge/10^3</f>
        <v>2.75E-2</v>
      </c>
      <c r="Z98" s="169">
        <f>23.97*Tchg_dvdt^(-0.33)*0.8</f>
        <v>10.925424834660804</v>
      </c>
      <c r="AA98" s="219" t="str">
        <f>IF(Y95&lt;Z91,"YES","NO, Increase Rlstart and/or Tchg_req; and/or Reduce Cout")</f>
        <v>YES</v>
      </c>
      <c r="AB98" s="169"/>
      <c r="AC98" s="169"/>
      <c r="AD98" s="169"/>
      <c r="AE98" s="169"/>
      <c r="AF98" s="169"/>
      <c r="AG98" s="169"/>
      <c r="AH98" s="169"/>
      <c r="AI98" s="169"/>
      <c r="AJ98" s="169"/>
      <c r="AK98" s="169"/>
      <c r="AL98" s="169"/>
      <c r="AM98" s="169"/>
      <c r="AN98" s="169"/>
      <c r="AO98" s="169"/>
      <c r="AP98" s="169"/>
      <c r="AQ98" s="169"/>
      <c r="AR98" s="169"/>
      <c r="AS98" s="169"/>
    </row>
    <row r="99" spans="2:45" ht="16.2" customHeight="1" x14ac:dyDescent="0.3">
      <c r="B99" s="91" t="s">
        <v>16</v>
      </c>
      <c r="C99" s="78" t="s">
        <v>17</v>
      </c>
      <c r="D99" s="92">
        <v>4</v>
      </c>
      <c r="E99" s="22" t="s">
        <v>4</v>
      </c>
      <c r="F99" s="89"/>
      <c r="G99" s="163"/>
      <c r="H99" s="163"/>
      <c r="I99" s="163"/>
      <c r="J99" s="163"/>
      <c r="L99" s="162"/>
      <c r="M99" s="162"/>
      <c r="U99" s="263"/>
      <c r="V99" s="263"/>
      <c r="W99" s="262"/>
      <c r="X99" s="169"/>
      <c r="Y99" s="169">
        <f>(Vcc_max^2/Rlstart)*(1/6-(D17^2/2/Vcc_max^2)+(D17^3/3/Vcc_max^3))</f>
        <v>5.0416666666666665E-3</v>
      </c>
      <c r="Z99" s="169">
        <f>37.14*Tchg_dvdt^(-0.31)*0.51</f>
        <v>11.166051890518089</v>
      </c>
      <c r="AA99" s="219" t="str">
        <f>IF(Y95&lt;Z93,"YES","NO, Increase Rlstart and/or Tchg_req; and/or Reduce Cout")</f>
        <v>YES</v>
      </c>
      <c r="AB99" s="169"/>
      <c r="AC99" s="169"/>
      <c r="AD99" s="169"/>
      <c r="AE99" s="169"/>
      <c r="AF99" s="169"/>
      <c r="AG99" s="169"/>
      <c r="AH99" s="169"/>
      <c r="AI99" s="169"/>
      <c r="AJ99" s="169"/>
      <c r="AK99" s="169"/>
      <c r="AL99" s="169"/>
      <c r="AM99" s="169"/>
      <c r="AN99" s="169"/>
      <c r="AO99" s="169"/>
      <c r="AP99" s="169"/>
      <c r="AQ99" s="169"/>
      <c r="AR99" s="169"/>
      <c r="AS99" s="169"/>
    </row>
    <row r="100" spans="2:45" ht="16.2" customHeight="1" x14ac:dyDescent="0.3">
      <c r="B100" s="91" t="s">
        <v>139</v>
      </c>
      <c r="C100" s="78" t="s">
        <v>140</v>
      </c>
      <c r="D100" s="92">
        <v>31</v>
      </c>
      <c r="E100" s="22" t="s">
        <v>18</v>
      </c>
      <c r="F100" s="89"/>
      <c r="G100" s="163"/>
      <c r="H100" s="163"/>
      <c r="I100" s="163"/>
      <c r="J100" s="163"/>
      <c r="L100" s="162"/>
      <c r="M100" s="162"/>
      <c r="U100" s="263"/>
      <c r="V100" s="263"/>
      <c r="W100" s="262"/>
      <c r="X100" s="169"/>
      <c r="Y100" s="169">
        <f>Y98+Y99</f>
        <v>3.2541666666666663E-2</v>
      </c>
      <c r="Z100" s="169" t="e">
        <f>30.81*I93^(-0.31)*0.8</f>
        <v>#NUM!</v>
      </c>
      <c r="AA100" s="219"/>
      <c r="AB100" s="169"/>
      <c r="AC100" s="169"/>
      <c r="AD100" s="169"/>
      <c r="AE100" s="169"/>
      <c r="AF100" s="169"/>
      <c r="AG100" s="169"/>
      <c r="AH100" s="169"/>
      <c r="AI100" s="169"/>
      <c r="AJ100" s="169"/>
      <c r="AK100" s="169"/>
      <c r="AL100" s="169"/>
      <c r="AM100" s="169"/>
      <c r="AN100" s="169"/>
      <c r="AO100" s="169"/>
      <c r="AP100" s="169"/>
      <c r="AQ100" s="169"/>
      <c r="AR100" s="169"/>
      <c r="AS100" s="169"/>
    </row>
    <row r="101" spans="2:45" ht="18" customHeight="1" x14ac:dyDescent="0.3">
      <c r="B101"/>
      <c r="C101"/>
      <c r="D101"/>
      <c r="E101"/>
      <c r="F101"/>
      <c r="U101" s="263"/>
      <c r="V101" s="263"/>
      <c r="W101" s="262"/>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row>
    <row r="102" spans="2:45" ht="27" customHeight="1" x14ac:dyDescent="0.3">
      <c r="B102" s="32" t="s">
        <v>23</v>
      </c>
      <c r="D102" s="26"/>
      <c r="E102" s="17"/>
      <c r="F102" s="27"/>
      <c r="L102"/>
      <c r="M102"/>
      <c r="Y102" s="170"/>
      <c r="Z102" s="170"/>
      <c r="AA102" s="170"/>
      <c r="AB102" s="170"/>
      <c r="AC102" s="170"/>
      <c r="AD102" s="170"/>
      <c r="AE102" s="170"/>
      <c r="AF102" s="170"/>
      <c r="AG102" s="170"/>
      <c r="AH102" s="170"/>
      <c r="AI102" s="170"/>
      <c r="AJ102" s="170"/>
      <c r="AK102" s="170"/>
      <c r="AL102" s="170"/>
      <c r="AM102" s="170"/>
      <c r="AN102" s="170"/>
      <c r="AO102" s="170"/>
      <c r="AP102" s="170"/>
      <c r="AQ102" s="170"/>
    </row>
    <row r="103" spans="2:45" ht="33.6" customHeight="1" x14ac:dyDescent="0.3">
      <c r="B103" s="91" t="s">
        <v>19</v>
      </c>
      <c r="C103" s="78" t="s">
        <v>21</v>
      </c>
      <c r="D103" s="92">
        <v>150</v>
      </c>
      <c r="E103" s="28" t="s">
        <v>64</v>
      </c>
      <c r="F103" s="90"/>
      <c r="G103"/>
      <c r="H103"/>
      <c r="I103"/>
      <c r="J103" s="94"/>
      <c r="K103" s="75"/>
      <c r="L103"/>
      <c r="M103"/>
      <c r="Y103" s="170"/>
      <c r="Z103" s="170"/>
      <c r="AA103" s="170"/>
      <c r="AB103" s="170"/>
      <c r="AC103" s="170"/>
      <c r="AD103" s="170"/>
      <c r="AE103" s="170"/>
      <c r="AF103" s="170"/>
      <c r="AG103" s="170"/>
      <c r="AH103" s="170"/>
      <c r="AI103" s="170"/>
      <c r="AJ103" s="170"/>
      <c r="AK103" s="170"/>
      <c r="AL103" s="170"/>
      <c r="AM103" s="170"/>
      <c r="AN103" s="170"/>
      <c r="AO103" s="170"/>
      <c r="AP103" s="170"/>
      <c r="AQ103" s="170"/>
    </row>
    <row r="104" spans="2:45" ht="18" customHeight="1" x14ac:dyDescent="0.3">
      <c r="B104" s="91" t="s">
        <v>66</v>
      </c>
      <c r="C104" s="78" t="s">
        <v>22</v>
      </c>
      <c r="D104" s="92">
        <v>41.7</v>
      </c>
      <c r="E104" s="28" t="s">
        <v>65</v>
      </c>
      <c r="F104" s="90"/>
      <c r="L104"/>
      <c r="M104"/>
    </row>
    <row r="105" spans="2:45" ht="18" customHeight="1" x14ac:dyDescent="0.3">
      <c r="B105"/>
      <c r="C105"/>
      <c r="D105"/>
      <c r="E105"/>
      <c r="F105"/>
      <c r="L105"/>
      <c r="M105"/>
    </row>
    <row r="106" spans="2:45" ht="18" customHeight="1" x14ac:dyDescent="0.3">
      <c r="B106" s="32" t="s">
        <v>40</v>
      </c>
      <c r="D106" s="26"/>
      <c r="E106" s="17"/>
      <c r="F106" s="27"/>
      <c r="L106"/>
      <c r="M106"/>
    </row>
    <row r="107" spans="2:45" ht="18" customHeight="1" x14ac:dyDescent="0.3">
      <c r="B107" s="91" t="s">
        <v>67</v>
      </c>
      <c r="C107" s="78" t="s">
        <v>93</v>
      </c>
      <c r="D107" s="93">
        <v>1.1000000000000001</v>
      </c>
      <c r="E107" s="22" t="s">
        <v>6</v>
      </c>
      <c r="F107" s="89">
        <v>6.3E-2</v>
      </c>
      <c r="L107"/>
      <c r="M107"/>
    </row>
    <row r="108" spans="2:45" ht="18" customHeight="1" x14ac:dyDescent="0.3">
      <c r="B108" s="91" t="s">
        <v>213</v>
      </c>
      <c r="C108" s="78" t="s">
        <v>92</v>
      </c>
      <c r="D108" s="93">
        <v>1.2</v>
      </c>
      <c r="E108" s="22" t="s">
        <v>6</v>
      </c>
      <c r="F108" s="89">
        <v>0.03</v>
      </c>
      <c r="L108"/>
      <c r="M108"/>
      <c r="U108" s="162"/>
      <c r="V108" s="162"/>
    </row>
    <row r="109" spans="2:45" ht="18" customHeight="1" x14ac:dyDescent="0.3">
      <c r="B109" s="91" t="s">
        <v>84</v>
      </c>
      <c r="C109" s="78" t="s">
        <v>82</v>
      </c>
      <c r="D109" s="93">
        <v>182</v>
      </c>
      <c r="E109" s="22" t="s">
        <v>83</v>
      </c>
      <c r="F109" s="89">
        <v>3.6999999999999998E-2</v>
      </c>
      <c r="L109"/>
      <c r="M109"/>
      <c r="U109" s="162"/>
      <c r="V109" s="162"/>
    </row>
    <row r="110" spans="2:45" ht="18" customHeight="1" x14ac:dyDescent="0.3">
      <c r="B110" s="91" t="s">
        <v>113</v>
      </c>
      <c r="C110" s="78" t="s">
        <v>114</v>
      </c>
      <c r="D110" s="93">
        <v>1.2</v>
      </c>
      <c r="E110" s="22" t="s">
        <v>115</v>
      </c>
      <c r="F110" s="166"/>
      <c r="G110" s="187">
        <f>INDEX('Cap Tables'!B4:B75,1+MATCH(D91,'Cap Tables'!B4:B75))</f>
        <v>2.7</v>
      </c>
      <c r="L110"/>
      <c r="M110"/>
      <c r="U110" s="162"/>
      <c r="V110" s="162"/>
    </row>
    <row r="111" spans="2:45" ht="18" customHeight="1" x14ac:dyDescent="0.3">
      <c r="L111"/>
      <c r="M111"/>
      <c r="U111" s="162"/>
      <c r="V111" s="162"/>
    </row>
    <row r="112" spans="2:45" ht="18" customHeight="1" x14ac:dyDescent="0.3">
      <c r="L112"/>
      <c r="M112"/>
    </row>
    <row r="113" spans="2:7" ht="18" customHeight="1" x14ac:dyDescent="0.3">
      <c r="G113" s="121"/>
    </row>
    <row r="118" spans="2:7" ht="18" customHeight="1" x14ac:dyDescent="0.3">
      <c r="G118" s="111"/>
    </row>
    <row r="119" spans="2:7" ht="18" customHeight="1" x14ac:dyDescent="0.3">
      <c r="G119" s="111"/>
    </row>
    <row r="120" spans="2:7" ht="18" customHeight="1" x14ac:dyDescent="0.3">
      <c r="G120" s="111"/>
    </row>
    <row r="121" spans="2:7" ht="18" customHeight="1" x14ac:dyDescent="0.3">
      <c r="G121" s="111"/>
    </row>
    <row r="122" spans="2:7" ht="18" customHeight="1" x14ac:dyDescent="0.3">
      <c r="G122" s="111"/>
    </row>
    <row r="123" spans="2:7" customFormat="1" ht="18" customHeight="1" x14ac:dyDescent="0.3">
      <c r="B123" s="19"/>
      <c r="C123" s="34"/>
      <c r="D123" s="18"/>
      <c r="E123" s="19"/>
      <c r="F123" s="20"/>
    </row>
    <row r="124" spans="2:7" ht="18" customHeight="1" x14ac:dyDescent="0.3">
      <c r="G124" s="111"/>
    </row>
    <row r="125" spans="2:7" ht="18" customHeight="1" x14ac:dyDescent="0.3">
      <c r="G125" s="111"/>
    </row>
    <row r="126" spans="2:7" ht="18" customHeight="1" x14ac:dyDescent="0.3">
      <c r="G126" s="111"/>
    </row>
    <row r="127" spans="2:7" ht="18" customHeight="1" x14ac:dyDescent="0.3">
      <c r="G127" s="111"/>
    </row>
    <row r="128" spans="2:7" ht="18" customHeight="1" x14ac:dyDescent="0.3">
      <c r="G128" s="111"/>
    </row>
    <row r="129" spans="7:22" ht="18" customHeight="1" x14ac:dyDescent="0.3">
      <c r="G129" s="111"/>
    </row>
    <row r="130" spans="7:22" ht="18" customHeight="1" x14ac:dyDescent="0.3">
      <c r="G130" s="111"/>
    </row>
    <row r="131" spans="7:22" ht="18" customHeight="1" x14ac:dyDescent="0.3">
      <c r="G131" s="111"/>
      <c r="U131" s="148"/>
      <c r="V131" s="148"/>
    </row>
    <row r="132" spans="7:22" ht="18" customHeight="1" x14ac:dyDescent="0.3">
      <c r="G132" s="111"/>
    </row>
  </sheetData>
  <sheetProtection password="ECB3" sheet="1" formatColumns="0" formatRows="0" selectLockedCells="1"/>
  <protectedRanges>
    <protectedRange sqref="D68 F68 D63:D64 D13 D15:D16 F15 D18 F92 D21 D11" name="UserInputs"/>
    <protectedRange sqref="D46 D43 F43" name="UserInputs_1"/>
    <protectedRange sqref="D10" name="UserInputs_3"/>
    <protectedRange sqref="D19" name="UserInputs_2"/>
    <protectedRange sqref="D24" name="UserInputs_4"/>
    <protectedRange sqref="D32 F32 D29 F29" name="UserInputs_5"/>
    <protectedRange sqref="D54 F54" name="UserInputs_6"/>
  </protectedRanges>
  <mergeCells count="13">
    <mergeCell ref="B58:F58"/>
    <mergeCell ref="B53:D53"/>
    <mergeCell ref="B51:F51"/>
    <mergeCell ref="B95:C95"/>
    <mergeCell ref="B89:E89"/>
    <mergeCell ref="B84:E84"/>
    <mergeCell ref="B74:F74"/>
    <mergeCell ref="B67:D67"/>
    <mergeCell ref="P2:U2"/>
    <mergeCell ref="B1:G1"/>
    <mergeCell ref="B23:C23"/>
    <mergeCell ref="B27:C27"/>
    <mergeCell ref="B31:D31"/>
  </mergeCells>
  <conditionalFormatting sqref="D18">
    <cfRule type="cellIs" dxfId="16" priority="43" operator="greaterThan">
      <formula>5.5</formula>
    </cfRule>
  </conditionalFormatting>
  <conditionalFormatting sqref="D15">
    <cfRule type="expression" dxfId="15" priority="33" stopIfTrue="1">
      <formula>$D$77&lt;&gt;"YES"</formula>
    </cfRule>
  </conditionalFormatting>
  <conditionalFormatting sqref="D64">
    <cfRule type="cellIs" dxfId="14" priority="32" operator="greaterThan">
      <formula>$D$55</formula>
    </cfRule>
  </conditionalFormatting>
  <conditionalFormatting sqref="D63">
    <cfRule type="expression" dxfId="13" priority="31">
      <formula>$D$77&lt;&gt;"YES"</formula>
    </cfRule>
  </conditionalFormatting>
  <conditionalFormatting sqref="D13">
    <cfRule type="cellIs" dxfId="12" priority="23" operator="greaterThanOrEqual">
      <formula>#REF!</formula>
    </cfRule>
  </conditionalFormatting>
  <conditionalFormatting sqref="D13">
    <cfRule type="cellIs" dxfId="11" priority="66" operator="lessThan">
      <formula>$D$14</formula>
    </cfRule>
  </conditionalFormatting>
  <conditionalFormatting sqref="D49">
    <cfRule type="cellIs" dxfId="10" priority="18" operator="lessThan">
      <formula>10</formula>
    </cfRule>
  </conditionalFormatting>
  <conditionalFormatting sqref="D77">
    <cfRule type="cellIs" dxfId="9" priority="11" stopIfTrue="1" operator="equal">
      <formula>"YES"</formula>
    </cfRule>
    <cfRule type="cellIs" dxfId="8" priority="12" operator="notEqual">
      <formula>"YES"</formula>
    </cfRule>
  </conditionalFormatting>
  <conditionalFormatting sqref="D17">
    <cfRule type="cellIs" dxfId="7" priority="10" operator="greaterThanOrEqual">
      <formula>#REF!</formula>
    </cfRule>
  </conditionalFormatting>
  <conditionalFormatting sqref="D11">
    <cfRule type="cellIs" dxfId="6" priority="7" operator="greaterThan">
      <formula>$D$12</formula>
    </cfRule>
  </conditionalFormatting>
  <conditionalFormatting sqref="D19">
    <cfRule type="cellIs" dxfId="5" priority="6" operator="lessThan">
      <formula>$D$18</formula>
    </cfRule>
  </conditionalFormatting>
  <conditionalFormatting sqref="D35">
    <cfRule type="cellIs" dxfId="4" priority="4" operator="lessThan">
      <formula>1</formula>
    </cfRule>
  </conditionalFormatting>
  <conditionalFormatting sqref="D71">
    <cfRule type="cellIs" dxfId="3" priority="3" operator="lessThan">
      <formula>$D$62</formula>
    </cfRule>
  </conditionalFormatting>
  <conditionalFormatting sqref="D70">
    <cfRule type="cellIs" dxfId="2" priority="2" operator="equal">
      <formula>TRUE</formula>
    </cfRule>
  </conditionalFormatting>
  <conditionalFormatting sqref="D16">
    <cfRule type="cellIs" dxfId="1" priority="103" stopIfTrue="1" operator="lessThan">
      <formula>$G$19</formula>
    </cfRule>
    <cfRule type="expression" dxfId="0" priority="104" stopIfTrue="1">
      <formula>$D$77&lt;&gt;"YES"</formula>
    </cfRule>
  </conditionalFormatting>
  <dataValidations xWindow="1089" yWindow="623" count="18">
    <dataValidation type="decimal" operator="lessThanOrEqual" allowBlank="1" showInputMessage="1" showErrorMessage="1" errorTitle="Error (Reenter the Value)" error="Enter a value less than Ilimit_final" promptTitle="Restriction" prompt="Enter a value less than Ilimit_final" sqref="D64" xr:uid="{00000000-0002-0000-0000-000000000000}">
      <formula1>D55</formula1>
    </dataValidation>
    <dataValidation errorTitle="Error (Reenter the Value)" error="Only values greater than UVref will be accepted" promptTitle="Restriction" prompt="Please enter a value greater than UVref" sqref="D14" xr:uid="{00000000-0002-0000-0000-000001000000}"/>
    <dataValidation type="decimal" operator="greaterThan" showInputMessage="1" showErrorMessage="1" errorTitle="ERROR!!" error="Start-up Load Resistor is &lt; VCC(max)/Imax, this will prevent start-up." prompt="Start-up Load must be &gt; VCC(max)/Imax" sqref="D16"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63" xr:uid="{00000000-0002-0000-0000-000003000000}">
      <formula1>D62</formula1>
    </dataValidation>
    <dataValidation type="decimal" operator="lessThanOrEqual" allowBlank="1" showInputMessage="1" showErrorMessage="1" error="Imax &lt;= 4 ,Recommended operating conditions" prompt="Imax &lt;= 4 A" sqref="D18" xr:uid="{00000000-0002-0000-0000-000005000000}">
      <formula1>4</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77" xr:uid="{1665AC74-FC81-46E8-B54D-27F0DF7B27A4}"/>
    <dataValidation operator="greaterThanOrEqual" allowBlank="1" showInputMessage="1" showErrorMessage="1" error="Use OPEN or &gt;=1 nF" prompt="Use OPEN or &gt;=1 nF" sqref="D68" xr:uid="{00000000-0002-0000-0000-000009000000}"/>
    <dataValidation type="decimal" operator="lessThanOrEqual" allowBlank="1" showInputMessage="1" showErrorMessage="1" error="UVset must be &gt;VUVP and &lt; VIN(max)  " prompt="UVset must be &gt;VUVP and &lt; VIN(max)   " sqref="D13" xr:uid="{00000000-0002-0000-0000-00000D000000}">
      <formula1>D11</formula1>
    </dataValidation>
    <dataValidation type="decimal" operator="lessThanOrEqual" allowBlank="1" showInputMessage="1" showErrorMessage="1" error="PG threshold should be less than maximum input voltage " sqref="D42" xr:uid="{00000000-0002-0000-0000-00000E000000}">
      <formula1>Vcc_max</formula1>
    </dataValidation>
    <dataValidation type="decimal" allowBlank="1" showInputMessage="1" showErrorMessage="1" error="-40 &lt; TA,MAX &lt;= 125" prompt="-40 &lt; TA,MAX &lt;= 125" sqref="D21" xr:uid="{00000000-0002-0000-0000-00000F000000}">
      <formula1>-40</formula1>
      <formula2>125</formula2>
    </dataValidation>
    <dataValidation allowBlank="1" showInputMessage="1" showErrorMessage="1" prompt="Select R4 and R5 such that I_R45 &gt; 10uA" sqref="D49" xr:uid="{E611E73A-B5EB-4FD5-9515-A8FD1E0EB663}"/>
    <dataValidation type="decimal" operator="lessThan" allowBlank="1" showInputMessage="1" showErrorMessage="1" prompt="Enter value less than maximum input voltage" sqref="D17" xr:uid="{99C0750F-3260-465F-A2BB-0B7050307D36}">
      <formula1>Vcc_max</formula1>
    </dataValidation>
    <dataValidation type="list" allowBlank="1" showInputMessage="1" showErrorMessage="1" error="Choose from the drop-down list" sqref="D10" xr:uid="{7055A340-37D0-4EAB-B5B6-90FC959991B5}">
      <formula1>$P$4:$P$5</formula1>
    </dataValidation>
    <dataValidation type="decimal" operator="lessThanOrEqual" showInputMessage="1" showErrorMessage="1" error="VIN(operating max) must be &lt; OVC" prompt="VIN(max) must be &lt; OVC_x000a_" sqref="D11" xr:uid="{F7E7AA60-6E83-4811-BE44-5EF7BE40F218}">
      <formula1>D12</formula1>
    </dataValidation>
    <dataValidation type="list" allowBlank="1" showInputMessage="1" showErrorMessage="1" sqref="D12" xr:uid="{523EBC99-E180-4839-AFAE-9D9DCA526E75}">
      <formula1>$W$3:$X$3</formula1>
    </dataValidation>
    <dataValidation type="decimal" allowBlank="1" showInputMessage="1" showErrorMessage="1" error="0.5 &lt;= Ilimit &lt;= 4.44" prompt="0.5 &lt;= Ilimit &lt;= 4.44" sqref="D19" xr:uid="{8D272E9B-4381-48F1-BE76-B18107ADDB8E}">
      <formula1>0.5</formula1>
      <formula2>4.44</formula2>
    </dataValidation>
    <dataValidation allowBlank="1" showInputMessage="1" showErrorMessage="1" prompt="Select R1 and R2 such that I_R12 is &gt; 1 uA" sqref="D35"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C5" sqref="C5:C12"/>
    </sheetView>
  </sheetViews>
  <sheetFormatPr defaultRowHeight="14.4" x14ac:dyDescent="0.3"/>
  <cols>
    <col min="1" max="6" width="18.6640625" customWidth="1"/>
    <col min="257" max="262" width="18.6640625" customWidth="1"/>
    <col min="513" max="518" width="18.6640625" customWidth="1"/>
    <col min="769" max="774" width="18.6640625" customWidth="1"/>
    <col min="1025" max="1030" width="18.6640625" customWidth="1"/>
    <col min="1281" max="1286" width="18.6640625" customWidth="1"/>
    <col min="1537" max="1542" width="18.6640625" customWidth="1"/>
    <col min="1793" max="1798" width="18.6640625" customWidth="1"/>
    <col min="2049" max="2054" width="18.6640625" customWidth="1"/>
    <col min="2305" max="2310" width="18.6640625" customWidth="1"/>
    <col min="2561" max="2566" width="18.6640625" customWidth="1"/>
    <col min="2817" max="2822" width="18.6640625" customWidth="1"/>
    <col min="3073" max="3078" width="18.6640625" customWidth="1"/>
    <col min="3329" max="3334" width="18.6640625" customWidth="1"/>
    <col min="3585" max="3590" width="18.6640625" customWidth="1"/>
    <col min="3841" max="3846" width="18.6640625" customWidth="1"/>
    <col min="4097" max="4102" width="18.6640625" customWidth="1"/>
    <col min="4353" max="4358" width="18.6640625" customWidth="1"/>
    <col min="4609" max="4614" width="18.6640625" customWidth="1"/>
    <col min="4865" max="4870" width="18.6640625" customWidth="1"/>
    <col min="5121" max="5126" width="18.6640625" customWidth="1"/>
    <col min="5377" max="5382" width="18.6640625" customWidth="1"/>
    <col min="5633" max="5638" width="18.6640625" customWidth="1"/>
    <col min="5889" max="5894" width="18.6640625" customWidth="1"/>
    <col min="6145" max="6150" width="18.6640625" customWidth="1"/>
    <col min="6401" max="6406" width="18.6640625" customWidth="1"/>
    <col min="6657" max="6662" width="18.6640625" customWidth="1"/>
    <col min="6913" max="6918" width="18.6640625" customWidth="1"/>
    <col min="7169" max="7174" width="18.6640625" customWidth="1"/>
    <col min="7425" max="7430" width="18.6640625" customWidth="1"/>
    <col min="7681" max="7686" width="18.6640625" customWidth="1"/>
    <col min="7937" max="7942" width="18.6640625" customWidth="1"/>
    <col min="8193" max="8198" width="18.6640625" customWidth="1"/>
    <col min="8449" max="8454" width="18.6640625" customWidth="1"/>
    <col min="8705" max="8710" width="18.6640625" customWidth="1"/>
    <col min="8961" max="8966" width="18.6640625" customWidth="1"/>
    <col min="9217" max="9222" width="18.6640625" customWidth="1"/>
    <col min="9473" max="9478" width="18.6640625" customWidth="1"/>
    <col min="9729" max="9734" width="18.6640625" customWidth="1"/>
    <col min="9985" max="9990" width="18.6640625" customWidth="1"/>
    <col min="10241" max="10246" width="18.6640625" customWidth="1"/>
    <col min="10497" max="10502" width="18.6640625" customWidth="1"/>
    <col min="10753" max="10758" width="18.6640625" customWidth="1"/>
    <col min="11009" max="11014" width="18.6640625" customWidth="1"/>
    <col min="11265" max="11270" width="18.6640625" customWidth="1"/>
    <col min="11521" max="11526" width="18.6640625" customWidth="1"/>
    <col min="11777" max="11782" width="18.6640625" customWidth="1"/>
    <col min="12033" max="12038" width="18.6640625" customWidth="1"/>
    <col min="12289" max="12294" width="18.6640625" customWidth="1"/>
    <col min="12545" max="12550" width="18.6640625" customWidth="1"/>
    <col min="12801" max="12806" width="18.6640625" customWidth="1"/>
    <col min="13057" max="13062" width="18.6640625" customWidth="1"/>
    <col min="13313" max="13318" width="18.6640625" customWidth="1"/>
    <col min="13569" max="13574" width="18.6640625" customWidth="1"/>
    <col min="13825" max="13830" width="18.6640625" customWidth="1"/>
    <col min="14081" max="14086" width="18.6640625" customWidth="1"/>
    <col min="14337" max="14342" width="18.6640625" customWidth="1"/>
    <col min="14593" max="14598" width="18.6640625" customWidth="1"/>
    <col min="14849" max="14854" width="18.6640625" customWidth="1"/>
    <col min="15105" max="15110" width="18.6640625" customWidth="1"/>
    <col min="15361" max="15366" width="18.6640625" customWidth="1"/>
    <col min="15617" max="15622" width="18.6640625" customWidth="1"/>
    <col min="15873" max="15878" width="18.6640625" customWidth="1"/>
    <col min="16129" max="16134" width="18.6640625" customWidth="1"/>
  </cols>
  <sheetData>
    <row r="1" spans="1:9" ht="21" x14ac:dyDescent="0.4">
      <c r="A1" s="297" t="s">
        <v>51</v>
      </c>
      <c r="B1" s="297"/>
      <c r="C1" s="297"/>
      <c r="D1" s="297"/>
      <c r="E1" s="297"/>
      <c r="F1" s="297"/>
    </row>
    <row r="3" spans="1:9" x14ac:dyDescent="0.3">
      <c r="A3" s="2">
        <v>0.2</v>
      </c>
      <c r="B3" s="2">
        <v>0.1</v>
      </c>
      <c r="C3" s="2">
        <v>0.05</v>
      </c>
      <c r="D3" s="2">
        <v>0.02</v>
      </c>
      <c r="E3" s="2">
        <v>0.01</v>
      </c>
      <c r="F3" s="3" t="s">
        <v>52</v>
      </c>
    </row>
    <row r="4" spans="1:9" x14ac:dyDescent="0.3">
      <c r="A4" s="4" t="s">
        <v>53</v>
      </c>
      <c r="B4" s="4" t="s">
        <v>54</v>
      </c>
      <c r="C4" s="4" t="s">
        <v>55</v>
      </c>
      <c r="D4" s="4" t="s">
        <v>56</v>
      </c>
      <c r="E4" s="4" t="s">
        <v>57</v>
      </c>
      <c r="F4" s="4" t="s">
        <v>58</v>
      </c>
    </row>
    <row r="5" spans="1:9" x14ac:dyDescent="0.3">
      <c r="A5" s="296">
        <v>100</v>
      </c>
      <c r="B5" s="294">
        <v>100</v>
      </c>
      <c r="C5" s="295">
        <v>100</v>
      </c>
      <c r="D5" s="293">
        <v>100</v>
      </c>
      <c r="E5" s="292">
        <v>100</v>
      </c>
      <c r="F5" s="5">
        <v>100</v>
      </c>
    </row>
    <row r="6" spans="1:9" x14ac:dyDescent="0.3">
      <c r="A6" s="296"/>
      <c r="B6" s="294"/>
      <c r="C6" s="295"/>
      <c r="D6" s="293"/>
      <c r="E6" s="292"/>
      <c r="F6" s="5">
        <v>101</v>
      </c>
    </row>
    <row r="7" spans="1:9" x14ac:dyDescent="0.3">
      <c r="A7" s="296"/>
      <c r="B7" s="294"/>
      <c r="C7" s="295"/>
      <c r="D7" s="293"/>
      <c r="E7" s="292">
        <v>102</v>
      </c>
      <c r="F7" s="5">
        <v>102</v>
      </c>
    </row>
    <row r="8" spans="1:9" x14ac:dyDescent="0.3">
      <c r="A8" s="296"/>
      <c r="B8" s="294"/>
      <c r="C8" s="295"/>
      <c r="D8" s="293"/>
      <c r="E8" s="292"/>
      <c r="F8" s="5">
        <v>104</v>
      </c>
    </row>
    <row r="9" spans="1:9" x14ac:dyDescent="0.3">
      <c r="A9" s="296"/>
      <c r="B9" s="294"/>
      <c r="C9" s="295"/>
      <c r="D9" s="293">
        <v>105</v>
      </c>
      <c r="E9" s="292">
        <v>105</v>
      </c>
      <c r="F9" s="5">
        <v>105</v>
      </c>
    </row>
    <row r="10" spans="1:9" x14ac:dyDescent="0.3">
      <c r="A10" s="296"/>
      <c r="B10" s="294"/>
      <c r="C10" s="295"/>
      <c r="D10" s="293"/>
      <c r="E10" s="292"/>
      <c r="F10" s="5">
        <v>106</v>
      </c>
      <c r="I10" s="1"/>
    </row>
    <row r="11" spans="1:9" x14ac:dyDescent="0.3">
      <c r="A11" s="296"/>
      <c r="B11" s="294"/>
      <c r="C11" s="295"/>
      <c r="D11" s="293"/>
      <c r="E11" s="292">
        <v>107</v>
      </c>
      <c r="F11" s="5">
        <v>107</v>
      </c>
    </row>
    <row r="12" spans="1:9" x14ac:dyDescent="0.3">
      <c r="A12" s="296"/>
      <c r="B12" s="294"/>
      <c r="C12" s="295"/>
      <c r="D12" s="293"/>
      <c r="E12" s="292"/>
      <c r="F12" s="5">
        <v>109</v>
      </c>
    </row>
    <row r="13" spans="1:9" x14ac:dyDescent="0.3">
      <c r="A13" s="296"/>
      <c r="B13" s="294"/>
      <c r="C13" s="295">
        <v>110</v>
      </c>
      <c r="D13" s="293">
        <v>110</v>
      </c>
      <c r="E13" s="292">
        <v>110</v>
      </c>
      <c r="F13" s="5">
        <v>110</v>
      </c>
    </row>
    <row r="14" spans="1:9" x14ac:dyDescent="0.3">
      <c r="A14" s="296"/>
      <c r="B14" s="294"/>
      <c r="C14" s="295"/>
      <c r="D14" s="293"/>
      <c r="E14" s="292"/>
      <c r="F14" s="5">
        <v>111</v>
      </c>
    </row>
    <row r="15" spans="1:9" x14ac:dyDescent="0.3">
      <c r="A15" s="296"/>
      <c r="B15" s="294"/>
      <c r="C15" s="295"/>
      <c r="D15" s="293"/>
      <c r="E15" s="292">
        <v>113</v>
      </c>
      <c r="F15" s="5">
        <v>113</v>
      </c>
    </row>
    <row r="16" spans="1:9" x14ac:dyDescent="0.3">
      <c r="A16" s="296"/>
      <c r="B16" s="294"/>
      <c r="C16" s="295"/>
      <c r="D16" s="293"/>
      <c r="E16" s="292"/>
      <c r="F16" s="5">
        <v>114</v>
      </c>
    </row>
    <row r="17" spans="1:6" x14ac:dyDescent="0.3">
      <c r="A17" s="296"/>
      <c r="B17" s="294"/>
      <c r="C17" s="295"/>
      <c r="D17" s="293">
        <v>115</v>
      </c>
      <c r="E17" s="292">
        <v>115</v>
      </c>
      <c r="F17" s="5">
        <v>115</v>
      </c>
    </row>
    <row r="18" spans="1:6" x14ac:dyDescent="0.3">
      <c r="A18" s="296"/>
      <c r="B18" s="294"/>
      <c r="C18" s="295"/>
      <c r="D18" s="293"/>
      <c r="E18" s="292"/>
      <c r="F18" s="5">
        <v>117</v>
      </c>
    </row>
    <row r="19" spans="1:6" x14ac:dyDescent="0.3">
      <c r="A19" s="296"/>
      <c r="B19" s="294"/>
      <c r="C19" s="295"/>
      <c r="D19" s="293"/>
      <c r="E19" s="292">
        <v>118</v>
      </c>
      <c r="F19" s="5">
        <v>118</v>
      </c>
    </row>
    <row r="20" spans="1:6" x14ac:dyDescent="0.3">
      <c r="A20" s="296"/>
      <c r="B20" s="294"/>
      <c r="C20" s="295"/>
      <c r="D20" s="293"/>
      <c r="E20" s="292"/>
      <c r="F20" s="5">
        <v>120</v>
      </c>
    </row>
    <row r="21" spans="1:6" x14ac:dyDescent="0.3">
      <c r="A21" s="296"/>
      <c r="B21" s="294">
        <v>120</v>
      </c>
      <c r="C21" s="295">
        <v>120</v>
      </c>
      <c r="D21" s="293">
        <v>121</v>
      </c>
      <c r="E21" s="292">
        <v>121</v>
      </c>
      <c r="F21" s="5">
        <v>121</v>
      </c>
    </row>
    <row r="22" spans="1:6" x14ac:dyDescent="0.3">
      <c r="A22" s="296"/>
      <c r="B22" s="294"/>
      <c r="C22" s="295"/>
      <c r="D22" s="293"/>
      <c r="E22" s="292"/>
      <c r="F22" s="5">
        <v>123</v>
      </c>
    </row>
    <row r="23" spans="1:6" x14ac:dyDescent="0.3">
      <c r="A23" s="296"/>
      <c r="B23" s="294"/>
      <c r="C23" s="295"/>
      <c r="D23" s="293"/>
      <c r="E23" s="292">
        <v>124</v>
      </c>
      <c r="F23" s="5">
        <v>124</v>
      </c>
    </row>
    <row r="24" spans="1:6" x14ac:dyDescent="0.3">
      <c r="A24" s="296"/>
      <c r="B24" s="294"/>
      <c r="C24" s="295"/>
      <c r="D24" s="293"/>
      <c r="E24" s="292"/>
      <c r="F24" s="5">
        <v>126</v>
      </c>
    </row>
    <row r="25" spans="1:6" x14ac:dyDescent="0.3">
      <c r="A25" s="296"/>
      <c r="B25" s="294"/>
      <c r="C25" s="295"/>
      <c r="D25" s="293">
        <v>127</v>
      </c>
      <c r="E25" s="292">
        <v>127</v>
      </c>
      <c r="F25" s="5">
        <v>127</v>
      </c>
    </row>
    <row r="26" spans="1:6" x14ac:dyDescent="0.3">
      <c r="A26" s="296"/>
      <c r="B26" s="294"/>
      <c r="C26" s="295"/>
      <c r="D26" s="293"/>
      <c r="E26" s="292"/>
      <c r="F26" s="5">
        <v>129</v>
      </c>
    </row>
    <row r="27" spans="1:6" x14ac:dyDescent="0.3">
      <c r="A27" s="296"/>
      <c r="B27" s="294"/>
      <c r="C27" s="295"/>
      <c r="D27" s="293"/>
      <c r="E27" s="292">
        <v>130</v>
      </c>
      <c r="F27" s="5">
        <v>130</v>
      </c>
    </row>
    <row r="28" spans="1:6" x14ac:dyDescent="0.3">
      <c r="A28" s="296"/>
      <c r="B28" s="294"/>
      <c r="C28" s="295"/>
      <c r="D28" s="293"/>
      <c r="E28" s="292"/>
      <c r="F28" s="5">
        <v>132</v>
      </c>
    </row>
    <row r="29" spans="1:6" x14ac:dyDescent="0.3">
      <c r="A29" s="296"/>
      <c r="B29" s="294"/>
      <c r="C29" s="295">
        <v>130</v>
      </c>
      <c r="D29" s="293">
        <v>133</v>
      </c>
      <c r="E29" s="292">
        <v>133</v>
      </c>
      <c r="F29" s="5">
        <v>133</v>
      </c>
    </row>
    <row r="30" spans="1:6" x14ac:dyDescent="0.3">
      <c r="A30" s="296"/>
      <c r="B30" s="294"/>
      <c r="C30" s="295"/>
      <c r="D30" s="293"/>
      <c r="E30" s="292"/>
      <c r="F30" s="5">
        <v>135</v>
      </c>
    </row>
    <row r="31" spans="1:6" x14ac:dyDescent="0.3">
      <c r="A31" s="296"/>
      <c r="B31" s="294"/>
      <c r="C31" s="295"/>
      <c r="D31" s="293"/>
      <c r="E31" s="292">
        <v>137</v>
      </c>
      <c r="F31" s="5">
        <v>137</v>
      </c>
    </row>
    <row r="32" spans="1:6" x14ac:dyDescent="0.3">
      <c r="A32" s="296"/>
      <c r="B32" s="294"/>
      <c r="C32" s="295"/>
      <c r="D32" s="293"/>
      <c r="E32" s="292"/>
      <c r="F32" s="5">
        <v>138</v>
      </c>
    </row>
    <row r="33" spans="1:6" x14ac:dyDescent="0.3">
      <c r="A33" s="296"/>
      <c r="B33" s="294"/>
      <c r="C33" s="295"/>
      <c r="D33" s="293">
        <v>140</v>
      </c>
      <c r="E33" s="292">
        <v>140</v>
      </c>
      <c r="F33" s="5">
        <v>140</v>
      </c>
    </row>
    <row r="34" spans="1:6" x14ac:dyDescent="0.3">
      <c r="A34" s="296"/>
      <c r="B34" s="294"/>
      <c r="C34" s="295"/>
      <c r="D34" s="293"/>
      <c r="E34" s="292"/>
      <c r="F34" s="5">
        <v>142</v>
      </c>
    </row>
    <row r="35" spans="1:6" x14ac:dyDescent="0.3">
      <c r="A35" s="296"/>
      <c r="B35" s="294"/>
      <c r="C35" s="295"/>
      <c r="D35" s="293"/>
      <c r="E35" s="292">
        <v>143</v>
      </c>
      <c r="F35" s="5">
        <v>143</v>
      </c>
    </row>
    <row r="36" spans="1:6" x14ac:dyDescent="0.3">
      <c r="A36" s="296"/>
      <c r="B36" s="294"/>
      <c r="C36" s="295"/>
      <c r="D36" s="293"/>
      <c r="E36" s="292"/>
      <c r="F36" s="5">
        <v>145</v>
      </c>
    </row>
    <row r="37" spans="1:6" x14ac:dyDescent="0.3">
      <c r="A37" s="296">
        <v>150</v>
      </c>
      <c r="B37" s="294">
        <v>150</v>
      </c>
      <c r="C37" s="295">
        <v>150</v>
      </c>
      <c r="D37" s="293">
        <v>147</v>
      </c>
      <c r="E37" s="292">
        <v>147</v>
      </c>
      <c r="F37" s="5">
        <v>147</v>
      </c>
    </row>
    <row r="38" spans="1:6" x14ac:dyDescent="0.3">
      <c r="A38" s="296"/>
      <c r="B38" s="294"/>
      <c r="C38" s="295"/>
      <c r="D38" s="293"/>
      <c r="E38" s="292"/>
      <c r="F38" s="5">
        <v>149</v>
      </c>
    </row>
    <row r="39" spans="1:6" x14ac:dyDescent="0.3">
      <c r="A39" s="296"/>
      <c r="B39" s="294"/>
      <c r="C39" s="295"/>
      <c r="D39" s="293"/>
      <c r="E39" s="292">
        <v>150</v>
      </c>
      <c r="F39" s="5">
        <v>150</v>
      </c>
    </row>
    <row r="40" spans="1:6" x14ac:dyDescent="0.3">
      <c r="A40" s="296"/>
      <c r="B40" s="294"/>
      <c r="C40" s="295"/>
      <c r="D40" s="293"/>
      <c r="E40" s="292"/>
      <c r="F40" s="5">
        <v>152</v>
      </c>
    </row>
    <row r="41" spans="1:6" x14ac:dyDescent="0.3">
      <c r="A41" s="296"/>
      <c r="B41" s="294"/>
      <c r="C41" s="295"/>
      <c r="D41" s="293">
        <v>154</v>
      </c>
      <c r="E41" s="292">
        <v>154</v>
      </c>
      <c r="F41" s="5">
        <v>154</v>
      </c>
    </row>
    <row r="42" spans="1:6" x14ac:dyDescent="0.3">
      <c r="A42" s="296"/>
      <c r="B42" s="294"/>
      <c r="C42" s="295"/>
      <c r="D42" s="293"/>
      <c r="E42" s="292"/>
      <c r="F42" s="5">
        <v>156</v>
      </c>
    </row>
    <row r="43" spans="1:6" x14ac:dyDescent="0.3">
      <c r="A43" s="296"/>
      <c r="B43" s="294"/>
      <c r="C43" s="295"/>
      <c r="D43" s="293"/>
      <c r="E43" s="292">
        <v>158</v>
      </c>
      <c r="F43" s="5">
        <v>158</v>
      </c>
    </row>
    <row r="44" spans="1:6" x14ac:dyDescent="0.3">
      <c r="A44" s="296"/>
      <c r="B44" s="294"/>
      <c r="C44" s="295"/>
      <c r="D44" s="293"/>
      <c r="E44" s="292"/>
      <c r="F44" s="5">
        <v>160</v>
      </c>
    </row>
    <row r="45" spans="1:6" x14ac:dyDescent="0.3">
      <c r="A45" s="296"/>
      <c r="B45" s="294"/>
      <c r="C45" s="295">
        <v>160</v>
      </c>
      <c r="D45" s="293">
        <v>162</v>
      </c>
      <c r="E45" s="292">
        <v>162</v>
      </c>
      <c r="F45" s="5">
        <v>162</v>
      </c>
    </row>
    <row r="46" spans="1:6" x14ac:dyDescent="0.3">
      <c r="A46" s="296"/>
      <c r="B46" s="294"/>
      <c r="C46" s="295"/>
      <c r="D46" s="293"/>
      <c r="E46" s="292"/>
      <c r="F46" s="5">
        <v>164</v>
      </c>
    </row>
    <row r="47" spans="1:6" x14ac:dyDescent="0.3">
      <c r="A47" s="296"/>
      <c r="B47" s="294"/>
      <c r="C47" s="295"/>
      <c r="D47" s="293"/>
      <c r="E47" s="292">
        <v>165</v>
      </c>
      <c r="F47" s="5">
        <v>165</v>
      </c>
    </row>
    <row r="48" spans="1:6" x14ac:dyDescent="0.3">
      <c r="A48" s="296"/>
      <c r="B48" s="294"/>
      <c r="C48" s="295"/>
      <c r="D48" s="293"/>
      <c r="E48" s="292"/>
      <c r="F48" s="5">
        <v>167</v>
      </c>
    </row>
    <row r="49" spans="1:6" x14ac:dyDescent="0.3">
      <c r="A49" s="296"/>
      <c r="B49" s="294"/>
      <c r="C49" s="295"/>
      <c r="D49" s="293">
        <v>169</v>
      </c>
      <c r="E49" s="292">
        <v>169</v>
      </c>
      <c r="F49" s="5">
        <v>169</v>
      </c>
    </row>
    <row r="50" spans="1:6" x14ac:dyDescent="0.3">
      <c r="A50" s="296"/>
      <c r="B50" s="294"/>
      <c r="C50" s="295"/>
      <c r="D50" s="293"/>
      <c r="E50" s="292"/>
      <c r="F50" s="5">
        <v>172</v>
      </c>
    </row>
    <row r="51" spans="1:6" x14ac:dyDescent="0.3">
      <c r="A51" s="296"/>
      <c r="B51" s="294"/>
      <c r="C51" s="295"/>
      <c r="D51" s="293"/>
      <c r="E51" s="292">
        <v>174</v>
      </c>
      <c r="F51" s="5">
        <v>174</v>
      </c>
    </row>
    <row r="52" spans="1:6" x14ac:dyDescent="0.3">
      <c r="A52" s="296"/>
      <c r="B52" s="294"/>
      <c r="C52" s="295"/>
      <c r="D52" s="293"/>
      <c r="E52" s="292"/>
      <c r="F52" s="5">
        <v>176</v>
      </c>
    </row>
    <row r="53" spans="1:6" x14ac:dyDescent="0.3">
      <c r="A53" s="296"/>
      <c r="B53" s="294">
        <v>180</v>
      </c>
      <c r="C53" s="295">
        <v>180</v>
      </c>
      <c r="D53" s="293">
        <v>178</v>
      </c>
      <c r="E53" s="292">
        <v>178</v>
      </c>
      <c r="F53" s="5">
        <v>178</v>
      </c>
    </row>
    <row r="54" spans="1:6" x14ac:dyDescent="0.3">
      <c r="A54" s="296"/>
      <c r="B54" s="294"/>
      <c r="C54" s="295"/>
      <c r="D54" s="293"/>
      <c r="E54" s="292"/>
      <c r="F54" s="5">
        <v>180</v>
      </c>
    </row>
    <row r="55" spans="1:6" x14ac:dyDescent="0.3">
      <c r="A55" s="296"/>
      <c r="B55" s="294"/>
      <c r="C55" s="295"/>
      <c r="D55" s="293"/>
      <c r="E55" s="292">
        <v>182</v>
      </c>
      <c r="F55" s="5">
        <v>182</v>
      </c>
    </row>
    <row r="56" spans="1:6" x14ac:dyDescent="0.3">
      <c r="A56" s="296"/>
      <c r="B56" s="294"/>
      <c r="C56" s="295"/>
      <c r="D56" s="293"/>
      <c r="E56" s="292"/>
      <c r="F56" s="5">
        <v>184</v>
      </c>
    </row>
    <row r="57" spans="1:6" x14ac:dyDescent="0.3">
      <c r="A57" s="296"/>
      <c r="B57" s="294"/>
      <c r="C57" s="295"/>
      <c r="D57" s="293">
        <v>187</v>
      </c>
      <c r="E57" s="292">
        <v>187</v>
      </c>
      <c r="F57" s="5">
        <v>187</v>
      </c>
    </row>
    <row r="58" spans="1:6" x14ac:dyDescent="0.3">
      <c r="A58" s="296"/>
      <c r="B58" s="294"/>
      <c r="C58" s="295"/>
      <c r="D58" s="293"/>
      <c r="E58" s="292"/>
      <c r="F58" s="5">
        <v>189</v>
      </c>
    </row>
    <row r="59" spans="1:6" x14ac:dyDescent="0.3">
      <c r="A59" s="296"/>
      <c r="B59" s="294"/>
      <c r="C59" s="295"/>
      <c r="D59" s="293"/>
      <c r="E59" s="292">
        <v>191</v>
      </c>
      <c r="F59" s="5">
        <v>191</v>
      </c>
    </row>
    <row r="60" spans="1:6" x14ac:dyDescent="0.3">
      <c r="A60" s="296"/>
      <c r="B60" s="294"/>
      <c r="C60" s="295"/>
      <c r="D60" s="293"/>
      <c r="E60" s="292"/>
      <c r="F60" s="5">
        <v>193</v>
      </c>
    </row>
    <row r="61" spans="1:6" x14ac:dyDescent="0.3">
      <c r="A61" s="296"/>
      <c r="B61" s="294"/>
      <c r="C61" s="295">
        <v>200</v>
      </c>
      <c r="D61" s="293">
        <v>196</v>
      </c>
      <c r="E61" s="292">
        <v>196</v>
      </c>
      <c r="F61" s="5">
        <v>196</v>
      </c>
    </row>
    <row r="62" spans="1:6" x14ac:dyDescent="0.3">
      <c r="A62" s="296"/>
      <c r="B62" s="294"/>
      <c r="C62" s="295"/>
      <c r="D62" s="293"/>
      <c r="E62" s="292"/>
      <c r="F62" s="5">
        <v>198</v>
      </c>
    </row>
    <row r="63" spans="1:6" x14ac:dyDescent="0.3">
      <c r="A63" s="296"/>
      <c r="B63" s="294"/>
      <c r="C63" s="295"/>
      <c r="D63" s="293"/>
      <c r="E63" s="292">
        <v>200</v>
      </c>
      <c r="F63" s="5">
        <v>200</v>
      </c>
    </row>
    <row r="64" spans="1:6" x14ac:dyDescent="0.3">
      <c r="A64" s="296"/>
      <c r="B64" s="294"/>
      <c r="C64" s="295"/>
      <c r="D64" s="293"/>
      <c r="E64" s="292"/>
      <c r="F64" s="5">
        <v>203</v>
      </c>
    </row>
    <row r="65" spans="1:6" x14ac:dyDescent="0.3">
      <c r="A65" s="296"/>
      <c r="B65" s="294"/>
      <c r="C65" s="295"/>
      <c r="D65" s="293">
        <v>205</v>
      </c>
      <c r="E65" s="292">
        <v>205</v>
      </c>
      <c r="F65" s="5">
        <v>205</v>
      </c>
    </row>
    <row r="66" spans="1:6" x14ac:dyDescent="0.3">
      <c r="A66" s="296"/>
      <c r="B66" s="294"/>
      <c r="C66" s="295"/>
      <c r="D66" s="293"/>
      <c r="E66" s="292"/>
      <c r="F66" s="5">
        <v>208</v>
      </c>
    </row>
    <row r="67" spans="1:6" x14ac:dyDescent="0.3">
      <c r="A67" s="296"/>
      <c r="B67" s="294"/>
      <c r="C67" s="295"/>
      <c r="D67" s="293"/>
      <c r="E67" s="292">
        <v>210</v>
      </c>
      <c r="F67" s="5">
        <v>210</v>
      </c>
    </row>
    <row r="68" spans="1:6" x14ac:dyDescent="0.3">
      <c r="A68" s="296"/>
      <c r="B68" s="294"/>
      <c r="C68" s="295"/>
      <c r="D68" s="293"/>
      <c r="E68" s="292"/>
      <c r="F68" s="5">
        <v>213</v>
      </c>
    </row>
    <row r="69" spans="1:6" x14ac:dyDescent="0.3">
      <c r="A69" s="296">
        <v>220</v>
      </c>
      <c r="B69" s="294">
        <v>220</v>
      </c>
      <c r="C69" s="295">
        <v>220</v>
      </c>
      <c r="D69" s="293">
        <v>215</v>
      </c>
      <c r="E69" s="292">
        <v>215</v>
      </c>
      <c r="F69" s="5">
        <v>215</v>
      </c>
    </row>
    <row r="70" spans="1:6" x14ac:dyDescent="0.3">
      <c r="A70" s="296"/>
      <c r="B70" s="294"/>
      <c r="C70" s="295"/>
      <c r="D70" s="293"/>
      <c r="E70" s="292"/>
      <c r="F70" s="5">
        <v>218</v>
      </c>
    </row>
    <row r="71" spans="1:6" x14ac:dyDescent="0.3">
      <c r="A71" s="296"/>
      <c r="B71" s="294"/>
      <c r="C71" s="295"/>
      <c r="D71" s="293"/>
      <c r="E71" s="292">
        <v>221</v>
      </c>
      <c r="F71" s="5">
        <v>221</v>
      </c>
    </row>
    <row r="72" spans="1:6" x14ac:dyDescent="0.3">
      <c r="A72" s="296"/>
      <c r="B72" s="294"/>
      <c r="C72" s="295"/>
      <c r="D72" s="293"/>
      <c r="E72" s="292"/>
      <c r="F72" s="5">
        <v>223</v>
      </c>
    </row>
    <row r="73" spans="1:6" x14ac:dyDescent="0.3">
      <c r="A73" s="296"/>
      <c r="B73" s="294"/>
      <c r="C73" s="295"/>
      <c r="D73" s="293">
        <v>226</v>
      </c>
      <c r="E73" s="292">
        <v>226</v>
      </c>
      <c r="F73" s="5">
        <v>226</v>
      </c>
    </row>
    <row r="74" spans="1:6" x14ac:dyDescent="0.3">
      <c r="A74" s="296"/>
      <c r="B74" s="294"/>
      <c r="C74" s="295"/>
      <c r="D74" s="293"/>
      <c r="E74" s="292"/>
      <c r="F74" s="5">
        <v>229</v>
      </c>
    </row>
    <row r="75" spans="1:6" x14ac:dyDescent="0.3">
      <c r="A75" s="296"/>
      <c r="B75" s="294"/>
      <c r="C75" s="295"/>
      <c r="D75" s="293"/>
      <c r="E75" s="292">
        <v>232</v>
      </c>
      <c r="F75" s="5">
        <v>232</v>
      </c>
    </row>
    <row r="76" spans="1:6" x14ac:dyDescent="0.3">
      <c r="A76" s="296"/>
      <c r="B76" s="294"/>
      <c r="C76" s="295"/>
      <c r="D76" s="293"/>
      <c r="E76" s="292"/>
      <c r="F76" s="5">
        <v>234</v>
      </c>
    </row>
    <row r="77" spans="1:6" x14ac:dyDescent="0.3">
      <c r="A77" s="296"/>
      <c r="B77" s="294"/>
      <c r="C77" s="295">
        <v>240</v>
      </c>
      <c r="D77" s="293">
        <v>237</v>
      </c>
      <c r="E77" s="292">
        <v>237</v>
      </c>
      <c r="F77" s="5">
        <v>237</v>
      </c>
    </row>
    <row r="78" spans="1:6" x14ac:dyDescent="0.3">
      <c r="A78" s="296"/>
      <c r="B78" s="294"/>
      <c r="C78" s="295"/>
      <c r="D78" s="293"/>
      <c r="E78" s="292"/>
      <c r="F78" s="5">
        <v>240</v>
      </c>
    </row>
    <row r="79" spans="1:6" x14ac:dyDescent="0.3">
      <c r="A79" s="296"/>
      <c r="B79" s="294"/>
      <c r="C79" s="295"/>
      <c r="D79" s="293"/>
      <c r="E79" s="292">
        <v>243</v>
      </c>
      <c r="F79" s="5">
        <v>243</v>
      </c>
    </row>
    <row r="80" spans="1:6" x14ac:dyDescent="0.3">
      <c r="A80" s="296"/>
      <c r="B80" s="294"/>
      <c r="C80" s="295"/>
      <c r="D80" s="293"/>
      <c r="E80" s="292"/>
      <c r="F80" s="5">
        <v>246</v>
      </c>
    </row>
    <row r="81" spans="1:6" x14ac:dyDescent="0.3">
      <c r="A81" s="296"/>
      <c r="B81" s="294"/>
      <c r="C81" s="295"/>
      <c r="D81" s="293">
        <v>249</v>
      </c>
      <c r="E81" s="292">
        <v>249</v>
      </c>
      <c r="F81" s="5">
        <v>249</v>
      </c>
    </row>
    <row r="82" spans="1:6" x14ac:dyDescent="0.3">
      <c r="A82" s="296"/>
      <c r="B82" s="294"/>
      <c r="C82" s="295"/>
      <c r="D82" s="293"/>
      <c r="E82" s="292"/>
      <c r="F82" s="5">
        <v>252</v>
      </c>
    </row>
    <row r="83" spans="1:6" x14ac:dyDescent="0.3">
      <c r="A83" s="296"/>
      <c r="B83" s="294"/>
      <c r="C83" s="295"/>
      <c r="D83" s="293"/>
      <c r="E83" s="292">
        <v>255</v>
      </c>
      <c r="F83" s="5">
        <v>255</v>
      </c>
    </row>
    <row r="84" spans="1:6" x14ac:dyDescent="0.3">
      <c r="A84" s="296"/>
      <c r="B84" s="294"/>
      <c r="C84" s="295"/>
      <c r="D84" s="293"/>
      <c r="E84" s="292"/>
      <c r="F84" s="5">
        <v>258</v>
      </c>
    </row>
    <row r="85" spans="1:6" x14ac:dyDescent="0.3">
      <c r="A85" s="296"/>
      <c r="B85" s="294">
        <v>270</v>
      </c>
      <c r="C85" s="295">
        <v>270</v>
      </c>
      <c r="D85" s="293">
        <v>261</v>
      </c>
      <c r="E85" s="292">
        <v>261</v>
      </c>
      <c r="F85" s="5">
        <v>261</v>
      </c>
    </row>
    <row r="86" spans="1:6" x14ac:dyDescent="0.3">
      <c r="A86" s="296"/>
      <c r="B86" s="294"/>
      <c r="C86" s="295"/>
      <c r="D86" s="293"/>
      <c r="E86" s="292"/>
      <c r="F86" s="5">
        <v>264</v>
      </c>
    </row>
    <row r="87" spans="1:6" x14ac:dyDescent="0.3">
      <c r="A87" s="296"/>
      <c r="B87" s="294"/>
      <c r="C87" s="295"/>
      <c r="D87" s="293"/>
      <c r="E87" s="292">
        <v>267</v>
      </c>
      <c r="F87" s="5">
        <v>267</v>
      </c>
    </row>
    <row r="88" spans="1:6" x14ac:dyDescent="0.3">
      <c r="A88" s="296"/>
      <c r="B88" s="294"/>
      <c r="C88" s="295"/>
      <c r="D88" s="293"/>
      <c r="E88" s="292"/>
      <c r="F88" s="5">
        <v>271</v>
      </c>
    </row>
    <row r="89" spans="1:6" x14ac:dyDescent="0.3">
      <c r="A89" s="296"/>
      <c r="B89" s="294"/>
      <c r="C89" s="295"/>
      <c r="D89" s="293">
        <v>274</v>
      </c>
      <c r="E89" s="292">
        <v>274</v>
      </c>
      <c r="F89" s="5">
        <v>274</v>
      </c>
    </row>
    <row r="90" spans="1:6" x14ac:dyDescent="0.3">
      <c r="A90" s="296"/>
      <c r="B90" s="294"/>
      <c r="C90" s="295"/>
      <c r="D90" s="293"/>
      <c r="E90" s="292"/>
      <c r="F90" s="5">
        <v>277</v>
      </c>
    </row>
    <row r="91" spans="1:6" x14ac:dyDescent="0.3">
      <c r="A91" s="296"/>
      <c r="B91" s="294"/>
      <c r="C91" s="295"/>
      <c r="D91" s="293"/>
      <c r="E91" s="292">
        <v>280</v>
      </c>
      <c r="F91" s="5">
        <v>280</v>
      </c>
    </row>
    <row r="92" spans="1:6" x14ac:dyDescent="0.3">
      <c r="A92" s="296"/>
      <c r="B92" s="294"/>
      <c r="C92" s="295"/>
      <c r="D92" s="293"/>
      <c r="E92" s="292"/>
      <c r="F92" s="5">
        <v>284</v>
      </c>
    </row>
    <row r="93" spans="1:6" x14ac:dyDescent="0.3">
      <c r="A93" s="296"/>
      <c r="B93" s="294"/>
      <c r="C93" s="295">
        <v>300</v>
      </c>
      <c r="D93" s="293">
        <v>287</v>
      </c>
      <c r="E93" s="292">
        <v>287</v>
      </c>
      <c r="F93" s="5">
        <v>287</v>
      </c>
    </row>
    <row r="94" spans="1:6" x14ac:dyDescent="0.3">
      <c r="A94" s="296"/>
      <c r="B94" s="294"/>
      <c r="C94" s="295"/>
      <c r="D94" s="293"/>
      <c r="E94" s="292"/>
      <c r="F94" s="5">
        <v>291</v>
      </c>
    </row>
    <row r="95" spans="1:6" x14ac:dyDescent="0.3">
      <c r="A95" s="296"/>
      <c r="B95" s="294"/>
      <c r="C95" s="295"/>
      <c r="D95" s="293"/>
      <c r="E95" s="292">
        <v>294</v>
      </c>
      <c r="F95" s="5">
        <v>294</v>
      </c>
    </row>
    <row r="96" spans="1:6" x14ac:dyDescent="0.3">
      <c r="A96" s="296"/>
      <c r="B96" s="294"/>
      <c r="C96" s="295"/>
      <c r="D96" s="293"/>
      <c r="E96" s="292"/>
      <c r="F96" s="5">
        <v>298</v>
      </c>
    </row>
    <row r="97" spans="1:6" x14ac:dyDescent="0.3">
      <c r="A97" s="296"/>
      <c r="B97" s="294"/>
      <c r="C97" s="295"/>
      <c r="D97" s="293">
        <v>301</v>
      </c>
      <c r="E97" s="292">
        <v>301</v>
      </c>
      <c r="F97" s="5">
        <v>301</v>
      </c>
    </row>
    <row r="98" spans="1:6" x14ac:dyDescent="0.3">
      <c r="A98" s="296"/>
      <c r="B98" s="294"/>
      <c r="C98" s="295"/>
      <c r="D98" s="293"/>
      <c r="E98" s="292"/>
      <c r="F98" s="5">
        <v>305</v>
      </c>
    </row>
    <row r="99" spans="1:6" x14ac:dyDescent="0.3">
      <c r="A99" s="296"/>
      <c r="B99" s="294"/>
      <c r="C99" s="295"/>
      <c r="D99" s="293"/>
      <c r="E99" s="292">
        <v>309</v>
      </c>
      <c r="F99" s="5">
        <v>309</v>
      </c>
    </row>
    <row r="100" spans="1:6" x14ac:dyDescent="0.3">
      <c r="A100" s="296"/>
      <c r="B100" s="294"/>
      <c r="C100" s="295"/>
      <c r="D100" s="293"/>
      <c r="E100" s="292"/>
      <c r="F100" s="5">
        <v>312</v>
      </c>
    </row>
    <row r="101" spans="1:6" x14ac:dyDescent="0.3">
      <c r="A101" s="296">
        <v>330</v>
      </c>
      <c r="B101" s="294">
        <v>330</v>
      </c>
      <c r="C101" s="295">
        <v>330</v>
      </c>
      <c r="D101" s="293">
        <v>316</v>
      </c>
      <c r="E101" s="292">
        <v>316</v>
      </c>
      <c r="F101" s="5">
        <v>316</v>
      </c>
    </row>
    <row r="102" spans="1:6" x14ac:dyDescent="0.3">
      <c r="A102" s="296"/>
      <c r="B102" s="294"/>
      <c r="C102" s="295"/>
      <c r="D102" s="293"/>
      <c r="E102" s="292"/>
      <c r="F102" s="5">
        <v>320</v>
      </c>
    </row>
    <row r="103" spans="1:6" x14ac:dyDescent="0.3">
      <c r="A103" s="296"/>
      <c r="B103" s="294"/>
      <c r="C103" s="295"/>
      <c r="D103" s="293"/>
      <c r="E103" s="292">
        <v>324</v>
      </c>
      <c r="F103" s="5">
        <v>324</v>
      </c>
    </row>
    <row r="104" spans="1:6" x14ac:dyDescent="0.3">
      <c r="A104" s="296"/>
      <c r="B104" s="294"/>
      <c r="C104" s="295"/>
      <c r="D104" s="293"/>
      <c r="E104" s="292"/>
      <c r="F104" s="5">
        <v>328</v>
      </c>
    </row>
    <row r="105" spans="1:6" x14ac:dyDescent="0.3">
      <c r="A105" s="296"/>
      <c r="B105" s="294"/>
      <c r="C105" s="295"/>
      <c r="D105" s="293">
        <v>332</v>
      </c>
      <c r="E105" s="292">
        <v>332</v>
      </c>
      <c r="F105" s="5">
        <v>332</v>
      </c>
    </row>
    <row r="106" spans="1:6" x14ac:dyDescent="0.3">
      <c r="A106" s="296"/>
      <c r="B106" s="294"/>
      <c r="C106" s="295"/>
      <c r="D106" s="293"/>
      <c r="E106" s="292"/>
      <c r="F106" s="5">
        <v>336</v>
      </c>
    </row>
    <row r="107" spans="1:6" x14ac:dyDescent="0.3">
      <c r="A107" s="296"/>
      <c r="B107" s="294"/>
      <c r="C107" s="295"/>
      <c r="D107" s="293"/>
      <c r="E107" s="292">
        <v>340</v>
      </c>
      <c r="F107" s="5">
        <v>340</v>
      </c>
    </row>
    <row r="108" spans="1:6" x14ac:dyDescent="0.3">
      <c r="A108" s="296"/>
      <c r="B108" s="294"/>
      <c r="C108" s="295"/>
      <c r="D108" s="293"/>
      <c r="E108" s="292"/>
      <c r="F108" s="5">
        <v>344</v>
      </c>
    </row>
    <row r="109" spans="1:6" x14ac:dyDescent="0.3">
      <c r="A109" s="296"/>
      <c r="B109" s="294"/>
      <c r="C109" s="295">
        <v>360</v>
      </c>
      <c r="D109" s="293">
        <v>348</v>
      </c>
      <c r="E109" s="292">
        <v>348</v>
      </c>
      <c r="F109" s="5">
        <v>348</v>
      </c>
    </row>
    <row r="110" spans="1:6" x14ac:dyDescent="0.3">
      <c r="A110" s="296"/>
      <c r="B110" s="294"/>
      <c r="C110" s="295"/>
      <c r="D110" s="293"/>
      <c r="E110" s="292"/>
      <c r="F110" s="5">
        <v>352</v>
      </c>
    </row>
    <row r="111" spans="1:6" x14ac:dyDescent="0.3">
      <c r="A111" s="296"/>
      <c r="B111" s="294"/>
      <c r="C111" s="295"/>
      <c r="D111" s="293"/>
      <c r="E111" s="292">
        <v>357</v>
      </c>
      <c r="F111" s="5">
        <v>357</v>
      </c>
    </row>
    <row r="112" spans="1:6" x14ac:dyDescent="0.3">
      <c r="A112" s="296"/>
      <c r="B112" s="294"/>
      <c r="C112" s="295"/>
      <c r="D112" s="293"/>
      <c r="E112" s="292"/>
      <c r="F112" s="5">
        <v>361</v>
      </c>
    </row>
    <row r="113" spans="1:6" x14ac:dyDescent="0.3">
      <c r="A113" s="296"/>
      <c r="B113" s="294"/>
      <c r="C113" s="295"/>
      <c r="D113" s="293">
        <v>365</v>
      </c>
      <c r="E113" s="292">
        <v>365</v>
      </c>
      <c r="F113" s="5">
        <v>365</v>
      </c>
    </row>
    <row r="114" spans="1:6" x14ac:dyDescent="0.3">
      <c r="A114" s="296"/>
      <c r="B114" s="294"/>
      <c r="C114" s="295"/>
      <c r="D114" s="293"/>
      <c r="E114" s="292"/>
      <c r="F114" s="5">
        <v>370</v>
      </c>
    </row>
    <row r="115" spans="1:6" x14ac:dyDescent="0.3">
      <c r="A115" s="296"/>
      <c r="B115" s="294"/>
      <c r="C115" s="295"/>
      <c r="D115" s="293"/>
      <c r="E115" s="292">
        <v>374</v>
      </c>
      <c r="F115" s="5">
        <v>374</v>
      </c>
    </row>
    <row r="116" spans="1:6" x14ac:dyDescent="0.3">
      <c r="A116" s="296"/>
      <c r="B116" s="294"/>
      <c r="C116" s="295"/>
      <c r="D116" s="293"/>
      <c r="E116" s="292"/>
      <c r="F116" s="5">
        <v>379</v>
      </c>
    </row>
    <row r="117" spans="1:6" x14ac:dyDescent="0.3">
      <c r="A117" s="296"/>
      <c r="B117" s="294">
        <v>390</v>
      </c>
      <c r="C117" s="295">
        <v>390</v>
      </c>
      <c r="D117" s="293">
        <v>383</v>
      </c>
      <c r="E117" s="292">
        <v>383</v>
      </c>
      <c r="F117" s="5">
        <v>383</v>
      </c>
    </row>
    <row r="118" spans="1:6" x14ac:dyDescent="0.3">
      <c r="A118" s="296"/>
      <c r="B118" s="294"/>
      <c r="C118" s="295"/>
      <c r="D118" s="293"/>
      <c r="E118" s="292"/>
      <c r="F118" s="5">
        <v>388</v>
      </c>
    </row>
    <row r="119" spans="1:6" x14ac:dyDescent="0.3">
      <c r="A119" s="296"/>
      <c r="B119" s="294"/>
      <c r="C119" s="295"/>
      <c r="D119" s="293"/>
      <c r="E119" s="292">
        <v>392</v>
      </c>
      <c r="F119" s="5">
        <v>392</v>
      </c>
    </row>
    <row r="120" spans="1:6" x14ac:dyDescent="0.3">
      <c r="A120" s="296"/>
      <c r="B120" s="294"/>
      <c r="C120" s="295"/>
      <c r="D120" s="293"/>
      <c r="E120" s="292"/>
      <c r="F120" s="5">
        <v>397</v>
      </c>
    </row>
    <row r="121" spans="1:6" x14ac:dyDescent="0.3">
      <c r="A121" s="296"/>
      <c r="B121" s="294"/>
      <c r="C121" s="295"/>
      <c r="D121" s="293">
        <v>402</v>
      </c>
      <c r="E121" s="292">
        <v>402</v>
      </c>
      <c r="F121" s="5">
        <v>402</v>
      </c>
    </row>
    <row r="122" spans="1:6" x14ac:dyDescent="0.3">
      <c r="A122" s="296"/>
      <c r="B122" s="294"/>
      <c r="C122" s="295"/>
      <c r="D122" s="293"/>
      <c r="E122" s="292"/>
      <c r="F122" s="5">
        <v>407</v>
      </c>
    </row>
    <row r="123" spans="1:6" x14ac:dyDescent="0.3">
      <c r="A123" s="296"/>
      <c r="B123" s="294"/>
      <c r="C123" s="295"/>
      <c r="D123" s="293"/>
      <c r="E123" s="292">
        <v>412</v>
      </c>
      <c r="F123" s="5">
        <v>412</v>
      </c>
    </row>
    <row r="124" spans="1:6" x14ac:dyDescent="0.3">
      <c r="A124" s="296"/>
      <c r="B124" s="294"/>
      <c r="C124" s="295"/>
      <c r="D124" s="293"/>
      <c r="E124" s="292"/>
      <c r="F124" s="5">
        <v>417</v>
      </c>
    </row>
    <row r="125" spans="1:6" x14ac:dyDescent="0.3">
      <c r="A125" s="296"/>
      <c r="B125" s="294"/>
      <c r="C125" s="295">
        <v>430</v>
      </c>
      <c r="D125" s="293">
        <v>422</v>
      </c>
      <c r="E125" s="292">
        <v>422</v>
      </c>
      <c r="F125" s="5">
        <v>422</v>
      </c>
    </row>
    <row r="126" spans="1:6" x14ac:dyDescent="0.3">
      <c r="A126" s="296"/>
      <c r="B126" s="294"/>
      <c r="C126" s="295"/>
      <c r="D126" s="293"/>
      <c r="E126" s="292"/>
      <c r="F126" s="5">
        <v>427</v>
      </c>
    </row>
    <row r="127" spans="1:6" x14ac:dyDescent="0.3">
      <c r="A127" s="296"/>
      <c r="B127" s="294"/>
      <c r="C127" s="295"/>
      <c r="D127" s="293"/>
      <c r="E127" s="292">
        <v>432</v>
      </c>
      <c r="F127" s="5">
        <v>432</v>
      </c>
    </row>
    <row r="128" spans="1:6" x14ac:dyDescent="0.3">
      <c r="A128" s="296"/>
      <c r="B128" s="294"/>
      <c r="C128" s="295"/>
      <c r="D128" s="293"/>
      <c r="E128" s="292"/>
      <c r="F128" s="5">
        <v>437</v>
      </c>
    </row>
    <row r="129" spans="1:6" x14ac:dyDescent="0.3">
      <c r="A129" s="296"/>
      <c r="B129" s="294"/>
      <c r="C129" s="295"/>
      <c r="D129" s="293">
        <v>442</v>
      </c>
      <c r="E129" s="292">
        <v>442</v>
      </c>
      <c r="F129" s="5">
        <v>442</v>
      </c>
    </row>
    <row r="130" spans="1:6" x14ac:dyDescent="0.3">
      <c r="A130" s="296"/>
      <c r="B130" s="294"/>
      <c r="C130" s="295"/>
      <c r="D130" s="293"/>
      <c r="E130" s="292"/>
      <c r="F130" s="5">
        <v>448</v>
      </c>
    </row>
    <row r="131" spans="1:6" x14ac:dyDescent="0.3">
      <c r="A131" s="296"/>
      <c r="B131" s="294"/>
      <c r="C131" s="295"/>
      <c r="D131" s="293"/>
      <c r="E131" s="292">
        <v>453</v>
      </c>
      <c r="F131" s="5">
        <v>453</v>
      </c>
    </row>
    <row r="132" spans="1:6" x14ac:dyDescent="0.3">
      <c r="A132" s="296"/>
      <c r="B132" s="294"/>
      <c r="C132" s="295"/>
      <c r="D132" s="293"/>
      <c r="E132" s="292"/>
      <c r="F132" s="5">
        <v>459</v>
      </c>
    </row>
    <row r="133" spans="1:6" x14ac:dyDescent="0.3">
      <c r="A133" s="296">
        <v>470</v>
      </c>
      <c r="B133" s="294">
        <v>470</v>
      </c>
      <c r="C133" s="295">
        <v>470</v>
      </c>
      <c r="D133" s="293">
        <v>464</v>
      </c>
      <c r="E133" s="292">
        <v>464</v>
      </c>
      <c r="F133" s="5">
        <v>464</v>
      </c>
    </row>
    <row r="134" spans="1:6" x14ac:dyDescent="0.3">
      <c r="A134" s="296"/>
      <c r="B134" s="294"/>
      <c r="C134" s="295"/>
      <c r="D134" s="293"/>
      <c r="E134" s="292"/>
      <c r="F134" s="5">
        <v>470</v>
      </c>
    </row>
    <row r="135" spans="1:6" x14ac:dyDescent="0.3">
      <c r="A135" s="296"/>
      <c r="B135" s="294"/>
      <c r="C135" s="295"/>
      <c r="D135" s="293"/>
      <c r="E135" s="292">
        <v>475</v>
      </c>
      <c r="F135" s="5">
        <v>475</v>
      </c>
    </row>
    <row r="136" spans="1:6" x14ac:dyDescent="0.3">
      <c r="A136" s="296"/>
      <c r="B136" s="294"/>
      <c r="C136" s="295"/>
      <c r="D136" s="293"/>
      <c r="E136" s="292"/>
      <c r="F136" s="5">
        <v>481</v>
      </c>
    </row>
    <row r="137" spans="1:6" x14ac:dyDescent="0.3">
      <c r="A137" s="296"/>
      <c r="B137" s="294"/>
      <c r="C137" s="295"/>
      <c r="D137" s="293">
        <v>487</v>
      </c>
      <c r="E137" s="292">
        <v>487</v>
      </c>
      <c r="F137" s="5">
        <v>487</v>
      </c>
    </row>
    <row r="138" spans="1:6" x14ac:dyDescent="0.3">
      <c r="A138" s="296"/>
      <c r="B138" s="294"/>
      <c r="C138" s="295"/>
      <c r="D138" s="293"/>
      <c r="E138" s="292"/>
      <c r="F138" s="5">
        <v>493</v>
      </c>
    </row>
    <row r="139" spans="1:6" x14ac:dyDescent="0.3">
      <c r="A139" s="296"/>
      <c r="B139" s="294"/>
      <c r="C139" s="295"/>
      <c r="D139" s="293"/>
      <c r="E139" s="292">
        <v>499</v>
      </c>
      <c r="F139" s="5">
        <v>499</v>
      </c>
    </row>
    <row r="140" spans="1:6" x14ac:dyDescent="0.3">
      <c r="A140" s="296"/>
      <c r="B140" s="294"/>
      <c r="C140" s="295"/>
      <c r="D140" s="293"/>
      <c r="E140" s="292"/>
      <c r="F140" s="5">
        <v>505</v>
      </c>
    </row>
    <row r="141" spans="1:6" x14ac:dyDescent="0.3">
      <c r="A141" s="296"/>
      <c r="B141" s="294"/>
      <c r="C141" s="295">
        <v>510</v>
      </c>
      <c r="D141" s="293">
        <v>511</v>
      </c>
      <c r="E141" s="292">
        <v>511</v>
      </c>
      <c r="F141" s="5">
        <v>511</v>
      </c>
    </row>
    <row r="142" spans="1:6" x14ac:dyDescent="0.3">
      <c r="A142" s="296"/>
      <c r="B142" s="294"/>
      <c r="C142" s="295"/>
      <c r="D142" s="293"/>
      <c r="E142" s="292"/>
      <c r="F142" s="5">
        <v>517</v>
      </c>
    </row>
    <row r="143" spans="1:6" x14ac:dyDescent="0.3">
      <c r="A143" s="296"/>
      <c r="B143" s="294"/>
      <c r="C143" s="295"/>
      <c r="D143" s="293"/>
      <c r="E143" s="292">
        <v>523</v>
      </c>
      <c r="F143" s="5">
        <v>523</v>
      </c>
    </row>
    <row r="144" spans="1:6" x14ac:dyDescent="0.3">
      <c r="A144" s="296"/>
      <c r="B144" s="294"/>
      <c r="C144" s="295"/>
      <c r="D144" s="293"/>
      <c r="E144" s="292"/>
      <c r="F144" s="5">
        <v>530</v>
      </c>
    </row>
    <row r="145" spans="1:6" x14ac:dyDescent="0.3">
      <c r="A145" s="296"/>
      <c r="B145" s="294"/>
      <c r="C145" s="295"/>
      <c r="D145" s="293">
        <v>536</v>
      </c>
      <c r="E145" s="292">
        <v>536</v>
      </c>
      <c r="F145" s="5">
        <v>536</v>
      </c>
    </row>
    <row r="146" spans="1:6" x14ac:dyDescent="0.3">
      <c r="A146" s="296"/>
      <c r="B146" s="294"/>
      <c r="C146" s="295"/>
      <c r="D146" s="293"/>
      <c r="E146" s="292"/>
      <c r="F146" s="5">
        <v>542</v>
      </c>
    </row>
    <row r="147" spans="1:6" x14ac:dyDescent="0.3">
      <c r="A147" s="296"/>
      <c r="B147" s="294"/>
      <c r="C147" s="295"/>
      <c r="D147" s="293"/>
      <c r="E147" s="292">
        <v>549</v>
      </c>
      <c r="F147" s="5">
        <v>549</v>
      </c>
    </row>
    <row r="148" spans="1:6" x14ac:dyDescent="0.3">
      <c r="A148" s="296"/>
      <c r="B148" s="294"/>
      <c r="C148" s="295"/>
      <c r="D148" s="293"/>
      <c r="E148" s="292"/>
      <c r="F148" s="5">
        <v>556</v>
      </c>
    </row>
    <row r="149" spans="1:6" x14ac:dyDescent="0.3">
      <c r="A149" s="296"/>
      <c r="B149" s="294">
        <v>560</v>
      </c>
      <c r="C149" s="295">
        <v>560</v>
      </c>
      <c r="D149" s="293">
        <v>562</v>
      </c>
      <c r="E149" s="292">
        <v>562</v>
      </c>
      <c r="F149" s="5">
        <v>562</v>
      </c>
    </row>
    <row r="150" spans="1:6" x14ac:dyDescent="0.3">
      <c r="A150" s="296"/>
      <c r="B150" s="294"/>
      <c r="C150" s="295"/>
      <c r="D150" s="293"/>
      <c r="E150" s="292"/>
      <c r="F150" s="5">
        <v>569</v>
      </c>
    </row>
    <row r="151" spans="1:6" x14ac:dyDescent="0.3">
      <c r="A151" s="296"/>
      <c r="B151" s="294"/>
      <c r="C151" s="295"/>
      <c r="D151" s="293"/>
      <c r="E151" s="292">
        <v>576</v>
      </c>
      <c r="F151" s="5">
        <v>576</v>
      </c>
    </row>
    <row r="152" spans="1:6" x14ac:dyDescent="0.3">
      <c r="A152" s="296"/>
      <c r="B152" s="294"/>
      <c r="C152" s="295"/>
      <c r="D152" s="293"/>
      <c r="E152" s="292"/>
      <c r="F152" s="5">
        <v>583</v>
      </c>
    </row>
    <row r="153" spans="1:6" x14ac:dyDescent="0.3">
      <c r="A153" s="296"/>
      <c r="B153" s="294"/>
      <c r="C153" s="295"/>
      <c r="D153" s="293">
        <v>590</v>
      </c>
      <c r="E153" s="292">
        <v>590</v>
      </c>
      <c r="F153" s="5">
        <v>590</v>
      </c>
    </row>
    <row r="154" spans="1:6" x14ac:dyDescent="0.3">
      <c r="A154" s="296"/>
      <c r="B154" s="294"/>
      <c r="C154" s="295"/>
      <c r="D154" s="293"/>
      <c r="E154" s="292"/>
      <c r="F154" s="5">
        <v>597</v>
      </c>
    </row>
    <row r="155" spans="1:6" x14ac:dyDescent="0.3">
      <c r="A155" s="296"/>
      <c r="B155" s="294"/>
      <c r="C155" s="295"/>
      <c r="D155" s="293"/>
      <c r="E155" s="292">
        <v>604</v>
      </c>
      <c r="F155" s="5">
        <v>604</v>
      </c>
    </row>
    <row r="156" spans="1:6" x14ac:dyDescent="0.3">
      <c r="A156" s="296"/>
      <c r="B156" s="294"/>
      <c r="C156" s="295"/>
      <c r="D156" s="293"/>
      <c r="E156" s="292"/>
      <c r="F156" s="5">
        <v>612</v>
      </c>
    </row>
    <row r="157" spans="1:6" x14ac:dyDescent="0.3">
      <c r="A157" s="296"/>
      <c r="B157" s="294"/>
      <c r="C157" s="295">
        <v>620</v>
      </c>
      <c r="D157" s="293">
        <v>619</v>
      </c>
      <c r="E157" s="292">
        <v>619</v>
      </c>
      <c r="F157" s="5">
        <v>619</v>
      </c>
    </row>
    <row r="158" spans="1:6" x14ac:dyDescent="0.3">
      <c r="A158" s="296"/>
      <c r="B158" s="294"/>
      <c r="C158" s="295"/>
      <c r="D158" s="293"/>
      <c r="E158" s="292"/>
      <c r="F158" s="5">
        <v>626</v>
      </c>
    </row>
    <row r="159" spans="1:6" x14ac:dyDescent="0.3">
      <c r="A159" s="296"/>
      <c r="B159" s="294"/>
      <c r="C159" s="295"/>
      <c r="D159" s="293"/>
      <c r="E159" s="292">
        <v>634</v>
      </c>
      <c r="F159" s="5">
        <v>634</v>
      </c>
    </row>
    <row r="160" spans="1:6" x14ac:dyDescent="0.3">
      <c r="A160" s="296"/>
      <c r="B160" s="294"/>
      <c r="C160" s="295"/>
      <c r="D160" s="293"/>
      <c r="E160" s="292"/>
      <c r="F160" s="5">
        <v>642</v>
      </c>
    </row>
    <row r="161" spans="1:6" x14ac:dyDescent="0.3">
      <c r="A161" s="296"/>
      <c r="B161" s="294"/>
      <c r="C161" s="295"/>
      <c r="D161" s="293">
        <v>649</v>
      </c>
      <c r="E161" s="292">
        <v>649</v>
      </c>
      <c r="F161" s="5">
        <v>649</v>
      </c>
    </row>
    <row r="162" spans="1:6" x14ac:dyDescent="0.3">
      <c r="A162" s="296"/>
      <c r="B162" s="294"/>
      <c r="C162" s="295"/>
      <c r="D162" s="293"/>
      <c r="E162" s="292"/>
      <c r="F162" s="5">
        <v>657</v>
      </c>
    </row>
    <row r="163" spans="1:6" x14ac:dyDescent="0.3">
      <c r="A163" s="296"/>
      <c r="B163" s="294"/>
      <c r="C163" s="295"/>
      <c r="D163" s="293"/>
      <c r="E163" s="292">
        <v>665</v>
      </c>
      <c r="F163" s="5">
        <v>665</v>
      </c>
    </row>
    <row r="164" spans="1:6" x14ac:dyDescent="0.3">
      <c r="A164" s="296"/>
      <c r="B164" s="294"/>
      <c r="C164" s="295"/>
      <c r="D164" s="293"/>
      <c r="E164" s="292"/>
      <c r="F164" s="5">
        <v>673</v>
      </c>
    </row>
    <row r="165" spans="1:6" x14ac:dyDescent="0.3">
      <c r="A165" s="296">
        <v>680</v>
      </c>
      <c r="B165" s="294">
        <v>680</v>
      </c>
      <c r="C165" s="295">
        <v>680</v>
      </c>
      <c r="D165" s="293">
        <v>681</v>
      </c>
      <c r="E165" s="292">
        <v>681</v>
      </c>
      <c r="F165" s="5">
        <v>681</v>
      </c>
    </row>
    <row r="166" spans="1:6" x14ac:dyDescent="0.3">
      <c r="A166" s="296"/>
      <c r="B166" s="294"/>
      <c r="C166" s="295"/>
      <c r="D166" s="293"/>
      <c r="E166" s="292"/>
      <c r="F166" s="5">
        <v>690</v>
      </c>
    </row>
    <row r="167" spans="1:6" x14ac:dyDescent="0.3">
      <c r="A167" s="296"/>
      <c r="B167" s="294"/>
      <c r="C167" s="295"/>
      <c r="D167" s="293"/>
      <c r="E167" s="292">
        <v>698</v>
      </c>
      <c r="F167" s="5">
        <v>698</v>
      </c>
    </row>
    <row r="168" spans="1:6" x14ac:dyDescent="0.3">
      <c r="A168" s="296"/>
      <c r="B168" s="294"/>
      <c r="C168" s="295"/>
      <c r="D168" s="293"/>
      <c r="E168" s="292"/>
      <c r="F168" s="5">
        <v>706</v>
      </c>
    </row>
    <row r="169" spans="1:6" x14ac:dyDescent="0.3">
      <c r="A169" s="296"/>
      <c r="B169" s="294"/>
      <c r="C169" s="295"/>
      <c r="D169" s="293">
        <v>715</v>
      </c>
      <c r="E169" s="292">
        <v>715</v>
      </c>
      <c r="F169" s="5">
        <v>715</v>
      </c>
    </row>
    <row r="170" spans="1:6" x14ac:dyDescent="0.3">
      <c r="A170" s="296"/>
      <c r="B170" s="294"/>
      <c r="C170" s="295"/>
      <c r="D170" s="293"/>
      <c r="E170" s="292"/>
      <c r="F170" s="5">
        <v>723</v>
      </c>
    </row>
    <row r="171" spans="1:6" x14ac:dyDescent="0.3">
      <c r="A171" s="296"/>
      <c r="B171" s="294"/>
      <c r="C171" s="295"/>
      <c r="D171" s="293"/>
      <c r="E171" s="292">
        <v>732</v>
      </c>
      <c r="F171" s="5">
        <v>732</v>
      </c>
    </row>
    <row r="172" spans="1:6" x14ac:dyDescent="0.3">
      <c r="A172" s="296"/>
      <c r="B172" s="294"/>
      <c r="C172" s="295"/>
      <c r="D172" s="293"/>
      <c r="E172" s="292"/>
      <c r="F172" s="5">
        <v>741</v>
      </c>
    </row>
    <row r="173" spans="1:6" x14ac:dyDescent="0.3">
      <c r="A173" s="296"/>
      <c r="B173" s="294"/>
      <c r="C173" s="295">
        <v>750</v>
      </c>
      <c r="D173" s="293">
        <v>750</v>
      </c>
      <c r="E173" s="292">
        <v>750</v>
      </c>
      <c r="F173" s="5">
        <v>750</v>
      </c>
    </row>
    <row r="174" spans="1:6" x14ac:dyDescent="0.3">
      <c r="A174" s="296"/>
      <c r="B174" s="294"/>
      <c r="C174" s="295"/>
      <c r="D174" s="293"/>
      <c r="E174" s="292"/>
      <c r="F174" s="5">
        <v>759</v>
      </c>
    </row>
    <row r="175" spans="1:6" x14ac:dyDescent="0.3">
      <c r="A175" s="296"/>
      <c r="B175" s="294"/>
      <c r="C175" s="295"/>
      <c r="D175" s="293"/>
      <c r="E175" s="292">
        <v>768</v>
      </c>
      <c r="F175" s="5">
        <v>768</v>
      </c>
    </row>
    <row r="176" spans="1:6" x14ac:dyDescent="0.3">
      <c r="A176" s="296"/>
      <c r="B176" s="294"/>
      <c r="C176" s="295"/>
      <c r="D176" s="293"/>
      <c r="E176" s="292"/>
      <c r="F176" s="5">
        <v>777</v>
      </c>
    </row>
    <row r="177" spans="1:6" x14ac:dyDescent="0.3">
      <c r="A177" s="296"/>
      <c r="B177" s="294"/>
      <c r="C177" s="295"/>
      <c r="D177" s="293">
        <v>787</v>
      </c>
      <c r="E177" s="292">
        <v>787</v>
      </c>
      <c r="F177" s="5">
        <v>787</v>
      </c>
    </row>
    <row r="178" spans="1:6" x14ac:dyDescent="0.3">
      <c r="A178" s="296"/>
      <c r="B178" s="294"/>
      <c r="C178" s="295"/>
      <c r="D178" s="293"/>
      <c r="E178" s="292"/>
      <c r="F178" s="5">
        <v>796</v>
      </c>
    </row>
    <row r="179" spans="1:6" x14ac:dyDescent="0.3">
      <c r="A179" s="296"/>
      <c r="B179" s="294"/>
      <c r="C179" s="295"/>
      <c r="D179" s="293"/>
      <c r="E179" s="292">
        <v>806</v>
      </c>
      <c r="F179" s="5">
        <v>806</v>
      </c>
    </row>
    <row r="180" spans="1:6" x14ac:dyDescent="0.3">
      <c r="A180" s="296"/>
      <c r="B180" s="294"/>
      <c r="C180" s="295"/>
      <c r="D180" s="293"/>
      <c r="E180" s="292"/>
      <c r="F180" s="5">
        <v>816</v>
      </c>
    </row>
    <row r="181" spans="1:6" x14ac:dyDescent="0.3">
      <c r="A181" s="296"/>
      <c r="B181" s="294">
        <v>820</v>
      </c>
      <c r="C181" s="295">
        <v>820</v>
      </c>
      <c r="D181" s="293">
        <v>825</v>
      </c>
      <c r="E181" s="292">
        <v>825</v>
      </c>
      <c r="F181" s="5">
        <v>825</v>
      </c>
    </row>
    <row r="182" spans="1:6" x14ac:dyDescent="0.3">
      <c r="A182" s="296"/>
      <c r="B182" s="294"/>
      <c r="C182" s="295"/>
      <c r="D182" s="293"/>
      <c r="E182" s="292"/>
      <c r="F182" s="5">
        <v>835</v>
      </c>
    </row>
    <row r="183" spans="1:6" x14ac:dyDescent="0.3">
      <c r="A183" s="296"/>
      <c r="B183" s="294"/>
      <c r="C183" s="295"/>
      <c r="D183" s="293"/>
      <c r="E183" s="292">
        <v>845</v>
      </c>
      <c r="F183" s="5">
        <v>845</v>
      </c>
    </row>
    <row r="184" spans="1:6" x14ac:dyDescent="0.3">
      <c r="A184" s="296"/>
      <c r="B184" s="294"/>
      <c r="C184" s="295"/>
      <c r="D184" s="293"/>
      <c r="E184" s="292"/>
      <c r="F184" s="5">
        <v>856</v>
      </c>
    </row>
    <row r="185" spans="1:6" x14ac:dyDescent="0.3">
      <c r="A185" s="296"/>
      <c r="B185" s="294"/>
      <c r="C185" s="295"/>
      <c r="D185" s="293">
        <v>866</v>
      </c>
      <c r="E185" s="292">
        <v>866</v>
      </c>
      <c r="F185" s="5">
        <v>866</v>
      </c>
    </row>
    <row r="186" spans="1:6" x14ac:dyDescent="0.3">
      <c r="A186" s="296"/>
      <c r="B186" s="294"/>
      <c r="C186" s="295"/>
      <c r="D186" s="293"/>
      <c r="E186" s="292"/>
      <c r="F186" s="5">
        <v>876</v>
      </c>
    </row>
    <row r="187" spans="1:6" x14ac:dyDescent="0.3">
      <c r="A187" s="296"/>
      <c r="B187" s="294"/>
      <c r="C187" s="295"/>
      <c r="D187" s="293"/>
      <c r="E187" s="292">
        <v>887</v>
      </c>
      <c r="F187" s="5">
        <v>887</v>
      </c>
    </row>
    <row r="188" spans="1:6" x14ac:dyDescent="0.3">
      <c r="A188" s="296"/>
      <c r="B188" s="294"/>
      <c r="C188" s="295"/>
      <c r="D188" s="293"/>
      <c r="E188" s="292"/>
      <c r="F188" s="5">
        <v>898</v>
      </c>
    </row>
    <row r="189" spans="1:6" x14ac:dyDescent="0.3">
      <c r="A189" s="296"/>
      <c r="B189" s="294"/>
      <c r="C189" s="295">
        <v>910</v>
      </c>
      <c r="D189" s="293">
        <v>909</v>
      </c>
      <c r="E189" s="292">
        <v>909</v>
      </c>
      <c r="F189" s="5">
        <v>909</v>
      </c>
    </row>
    <row r="190" spans="1:6" x14ac:dyDescent="0.3">
      <c r="A190" s="296"/>
      <c r="B190" s="294"/>
      <c r="C190" s="295"/>
      <c r="D190" s="293"/>
      <c r="E190" s="292"/>
      <c r="F190" s="5">
        <v>920</v>
      </c>
    </row>
    <row r="191" spans="1:6" x14ac:dyDescent="0.3">
      <c r="A191" s="296"/>
      <c r="B191" s="294"/>
      <c r="C191" s="295"/>
      <c r="D191" s="293"/>
      <c r="E191" s="292">
        <v>931</v>
      </c>
      <c r="F191" s="5">
        <v>931</v>
      </c>
    </row>
    <row r="192" spans="1:6" x14ac:dyDescent="0.3">
      <c r="A192" s="296"/>
      <c r="B192" s="294"/>
      <c r="C192" s="295"/>
      <c r="D192" s="293"/>
      <c r="E192" s="292"/>
      <c r="F192" s="5">
        <v>942</v>
      </c>
    </row>
    <row r="193" spans="1:7" x14ac:dyDescent="0.3">
      <c r="A193" s="296"/>
      <c r="B193" s="294"/>
      <c r="C193" s="295"/>
      <c r="D193" s="293">
        <v>953</v>
      </c>
      <c r="E193" s="292">
        <v>953</v>
      </c>
      <c r="F193" s="5">
        <v>953</v>
      </c>
    </row>
    <row r="194" spans="1:7" x14ac:dyDescent="0.3">
      <c r="A194" s="296"/>
      <c r="B194" s="294"/>
      <c r="C194" s="295"/>
      <c r="D194" s="293"/>
      <c r="E194" s="292"/>
      <c r="F194" s="5">
        <v>965</v>
      </c>
    </row>
    <row r="195" spans="1:7" x14ac:dyDescent="0.3">
      <c r="A195" s="296"/>
      <c r="B195" s="294"/>
      <c r="C195" s="295"/>
      <c r="D195" s="293"/>
      <c r="E195" s="292">
        <v>976</v>
      </c>
      <c r="F195" s="5">
        <v>976</v>
      </c>
    </row>
    <row r="196" spans="1:7" x14ac:dyDescent="0.3">
      <c r="A196" s="296"/>
      <c r="B196" s="294"/>
      <c r="C196" s="295"/>
      <c r="D196" s="293"/>
      <c r="E196" s="292"/>
      <c r="F196" s="5">
        <v>988</v>
      </c>
    </row>
    <row r="197" spans="1:7" x14ac:dyDescent="0.3">
      <c r="A197" s="6">
        <v>1000</v>
      </c>
      <c r="B197" s="7">
        <v>1000</v>
      </c>
      <c r="C197" s="8">
        <v>1000</v>
      </c>
      <c r="D197" s="9">
        <v>1000</v>
      </c>
      <c r="E197" s="10">
        <v>1000</v>
      </c>
      <c r="F197" s="11">
        <v>1000</v>
      </c>
      <c r="G197" s="12" t="s">
        <v>59</v>
      </c>
    </row>
  </sheetData>
  <sheetProtection sheet="1" objects="1" scenarios="1"/>
  <mergeCells count="187">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 activePane="bottomRight" state="frozen"/>
      <selection activeCell="G170" sqref="G170"/>
      <selection pane="topRight" activeCell="G170" sqref="G170"/>
      <selection pane="bottomLeft" activeCell="G170" sqref="G170"/>
      <selection pane="bottomRight" activeCell="D6" sqref="D6"/>
    </sheetView>
  </sheetViews>
  <sheetFormatPr defaultRowHeight="14.4" x14ac:dyDescent="0.3"/>
  <cols>
    <col min="1" max="4" width="9.33203125" bestFit="1" customWidth="1"/>
  </cols>
  <sheetData>
    <row r="1" spans="1:4" ht="25.8" x14ac:dyDescent="0.5">
      <c r="A1" s="15" t="s">
        <v>61</v>
      </c>
      <c r="B1" s="15"/>
    </row>
    <row r="3" spans="1:4" x14ac:dyDescent="0.3">
      <c r="A3" s="13" t="s">
        <v>43</v>
      </c>
      <c r="B3" s="13" t="s">
        <v>8</v>
      </c>
      <c r="C3" s="13" t="s">
        <v>60</v>
      </c>
      <c r="D3" s="13" t="s">
        <v>62</v>
      </c>
    </row>
    <row r="4" spans="1:4" x14ac:dyDescent="0.3">
      <c r="A4" s="14">
        <v>1</v>
      </c>
      <c r="B4" s="14">
        <v>1</v>
      </c>
      <c r="C4" s="14">
        <v>1</v>
      </c>
      <c r="D4" s="14">
        <v>1</v>
      </c>
    </row>
    <row r="5" spans="1:4" x14ac:dyDescent="0.3">
      <c r="A5" s="14">
        <v>1.1000000000000001</v>
      </c>
      <c r="B5" s="14">
        <v>1.1000000000000001</v>
      </c>
      <c r="C5" s="14"/>
      <c r="D5" s="14"/>
    </row>
    <row r="6" spans="1:4" x14ac:dyDescent="0.3">
      <c r="A6" s="14">
        <v>1.2</v>
      </c>
      <c r="B6" s="14">
        <v>1.2</v>
      </c>
      <c r="C6" s="14"/>
      <c r="D6" s="14"/>
    </row>
    <row r="7" spans="1:4" x14ac:dyDescent="0.3">
      <c r="A7" s="14">
        <v>1.3</v>
      </c>
      <c r="B7" s="14">
        <v>1.3</v>
      </c>
      <c r="C7" s="14"/>
      <c r="D7" s="14"/>
    </row>
    <row r="8" spans="1:4" x14ac:dyDescent="0.3">
      <c r="A8" s="14">
        <v>1.5</v>
      </c>
      <c r="B8" s="14">
        <v>1.5</v>
      </c>
      <c r="C8" s="14">
        <v>1.5</v>
      </c>
      <c r="D8" s="14">
        <v>1.5</v>
      </c>
    </row>
    <row r="9" spans="1:4" x14ac:dyDescent="0.3">
      <c r="A9" s="14">
        <v>1.6</v>
      </c>
      <c r="B9" s="14">
        <v>1.6</v>
      </c>
      <c r="C9" s="14"/>
      <c r="D9" s="14"/>
    </row>
    <row r="10" spans="1:4" x14ac:dyDescent="0.3">
      <c r="A10" s="14">
        <v>1.8</v>
      </c>
      <c r="B10" s="14">
        <v>1.8</v>
      </c>
      <c r="C10" s="14"/>
      <c r="D10" s="14"/>
    </row>
    <row r="11" spans="1:4" x14ac:dyDescent="0.3">
      <c r="A11" s="14">
        <v>2</v>
      </c>
      <c r="B11" s="14">
        <v>2</v>
      </c>
      <c r="C11" s="14"/>
      <c r="D11" s="14"/>
    </row>
    <row r="12" spans="1:4" x14ac:dyDescent="0.3">
      <c r="A12" s="14">
        <v>2.2000000000000002</v>
      </c>
      <c r="B12" s="14">
        <v>2.2000000000000002</v>
      </c>
      <c r="C12" s="14">
        <v>2.2000000000000002</v>
      </c>
      <c r="D12" s="14">
        <v>2.2000000000000002</v>
      </c>
    </row>
    <row r="13" spans="1:4" x14ac:dyDescent="0.3">
      <c r="A13" s="14">
        <v>2.4</v>
      </c>
      <c r="B13" s="14">
        <v>2.4</v>
      </c>
      <c r="C13" s="14"/>
      <c r="D13" s="14"/>
    </row>
    <row r="14" spans="1:4" x14ac:dyDescent="0.3">
      <c r="A14" s="14">
        <v>2.7</v>
      </c>
      <c r="B14" s="14">
        <v>2.7</v>
      </c>
      <c r="C14" s="14"/>
      <c r="D14" s="14"/>
    </row>
    <row r="15" spans="1:4" x14ac:dyDescent="0.3">
      <c r="A15" s="14">
        <v>3</v>
      </c>
      <c r="B15" s="14">
        <v>3</v>
      </c>
      <c r="C15" s="14"/>
      <c r="D15" s="14"/>
    </row>
    <row r="16" spans="1:4" x14ac:dyDescent="0.3">
      <c r="A16" s="14">
        <v>3.3</v>
      </c>
      <c r="B16" s="14">
        <v>3.3</v>
      </c>
      <c r="C16" s="14">
        <v>3.3</v>
      </c>
      <c r="D16" s="14">
        <v>3.3</v>
      </c>
    </row>
    <row r="17" spans="1:6" x14ac:dyDescent="0.3">
      <c r="A17" s="14">
        <v>3.6</v>
      </c>
      <c r="B17" s="14">
        <v>3.6</v>
      </c>
      <c r="C17" s="14">
        <f>C18</f>
        <v>4.7</v>
      </c>
      <c r="D17" s="14"/>
    </row>
    <row r="18" spans="1:6" x14ac:dyDescent="0.3">
      <c r="A18" s="14">
        <v>3.9</v>
      </c>
      <c r="B18" s="14">
        <v>3.9</v>
      </c>
      <c r="C18" s="14">
        <f>C19</f>
        <v>4.7</v>
      </c>
      <c r="D18" s="14"/>
    </row>
    <row r="19" spans="1:6" x14ac:dyDescent="0.3">
      <c r="A19" s="14">
        <v>4.3</v>
      </c>
      <c r="B19" s="14">
        <v>4.3</v>
      </c>
      <c r="C19" s="14">
        <f>C20</f>
        <v>4.7</v>
      </c>
      <c r="D19" s="14"/>
    </row>
    <row r="20" spans="1:6" x14ac:dyDescent="0.3">
      <c r="A20" s="14">
        <v>4.7</v>
      </c>
      <c r="B20" s="14">
        <v>4.7</v>
      </c>
      <c r="C20" s="14">
        <v>4.7</v>
      </c>
      <c r="D20" s="14">
        <v>4.7</v>
      </c>
    </row>
    <row r="21" spans="1:6" x14ac:dyDescent="0.3">
      <c r="A21" s="14">
        <v>5.0999999999999996</v>
      </c>
      <c r="B21" s="14">
        <v>5.0999999999999996</v>
      </c>
      <c r="C21" s="14">
        <f>C22</f>
        <v>6.8</v>
      </c>
      <c r="D21" s="14"/>
    </row>
    <row r="22" spans="1:6" x14ac:dyDescent="0.3">
      <c r="A22" s="14">
        <v>5.6</v>
      </c>
      <c r="B22" s="14">
        <v>5.6</v>
      </c>
      <c r="C22" s="14">
        <f>C23</f>
        <v>6.8</v>
      </c>
      <c r="D22" s="14"/>
    </row>
    <row r="23" spans="1:6" x14ac:dyDescent="0.3">
      <c r="A23" s="14">
        <v>6.2</v>
      </c>
      <c r="B23" s="14">
        <v>6.2</v>
      </c>
      <c r="C23" s="14">
        <f>C24</f>
        <v>6.8</v>
      </c>
      <c r="D23" s="14"/>
    </row>
    <row r="24" spans="1:6" x14ac:dyDescent="0.3">
      <c r="A24" s="14">
        <v>6.8</v>
      </c>
      <c r="B24" s="14">
        <v>6.8</v>
      </c>
      <c r="C24" s="14">
        <v>6.8</v>
      </c>
      <c r="D24" s="14">
        <v>6.8</v>
      </c>
    </row>
    <row r="25" spans="1:6" x14ac:dyDescent="0.3">
      <c r="A25" s="14">
        <v>7.5</v>
      </c>
      <c r="B25" s="14">
        <v>7.5</v>
      </c>
      <c r="C25" s="14">
        <f>C26</f>
        <v>10</v>
      </c>
      <c r="D25" s="14"/>
    </row>
    <row r="26" spans="1:6" x14ac:dyDescent="0.3">
      <c r="A26" s="14">
        <v>8.1999999999999993</v>
      </c>
      <c r="B26" s="14">
        <v>8.1999999999999993</v>
      </c>
      <c r="C26" s="14">
        <f>C27</f>
        <v>10</v>
      </c>
      <c r="D26" s="14"/>
    </row>
    <row r="27" spans="1:6" x14ac:dyDescent="0.3">
      <c r="A27" s="14">
        <v>9.1</v>
      </c>
      <c r="B27" s="14">
        <v>9.1</v>
      </c>
      <c r="C27" s="14">
        <f>C28</f>
        <v>10</v>
      </c>
      <c r="D27" s="14"/>
    </row>
    <row r="28" spans="1:6" x14ac:dyDescent="0.3">
      <c r="A28" s="14">
        <v>10</v>
      </c>
      <c r="B28" s="14">
        <v>10</v>
      </c>
      <c r="C28" s="14">
        <v>10</v>
      </c>
      <c r="D28" s="14">
        <v>10</v>
      </c>
    </row>
    <row r="29" spans="1:6" x14ac:dyDescent="0.3">
      <c r="A29" s="14">
        <v>11</v>
      </c>
      <c r="B29" s="14">
        <f t="shared" ref="B29:C31" si="0">B30</f>
        <v>15</v>
      </c>
      <c r="C29" s="14">
        <f t="shared" si="0"/>
        <v>15</v>
      </c>
      <c r="D29" s="14"/>
    </row>
    <row r="30" spans="1:6" x14ac:dyDescent="0.3">
      <c r="A30" s="14">
        <v>12</v>
      </c>
      <c r="B30" s="14">
        <f t="shared" si="0"/>
        <v>15</v>
      </c>
      <c r="C30" s="14">
        <f t="shared" si="0"/>
        <v>15</v>
      </c>
      <c r="D30" s="14"/>
    </row>
    <row r="31" spans="1:6" x14ac:dyDescent="0.3">
      <c r="A31" s="14">
        <v>13</v>
      </c>
      <c r="B31" s="14">
        <f t="shared" si="0"/>
        <v>15</v>
      </c>
      <c r="C31" s="14">
        <f t="shared" si="0"/>
        <v>15</v>
      </c>
      <c r="D31" s="14"/>
    </row>
    <row r="32" spans="1:6" x14ac:dyDescent="0.3">
      <c r="A32" s="14">
        <v>15</v>
      </c>
      <c r="B32" s="14">
        <v>15</v>
      </c>
      <c r="C32" s="14">
        <v>15</v>
      </c>
      <c r="D32" s="14"/>
      <c r="F32" s="16"/>
    </row>
    <row r="33" spans="1:4" x14ac:dyDescent="0.3">
      <c r="A33" s="14">
        <v>16</v>
      </c>
      <c r="B33" s="14">
        <f t="shared" ref="B33:C35" si="1">B34</f>
        <v>22</v>
      </c>
      <c r="C33" s="14">
        <f t="shared" si="1"/>
        <v>22</v>
      </c>
      <c r="D33" s="14"/>
    </row>
    <row r="34" spans="1:4" x14ac:dyDescent="0.3">
      <c r="A34" s="14">
        <v>18</v>
      </c>
      <c r="B34" s="14">
        <f t="shared" si="1"/>
        <v>22</v>
      </c>
      <c r="C34" s="14">
        <f t="shared" si="1"/>
        <v>22</v>
      </c>
      <c r="D34" s="14"/>
    </row>
    <row r="35" spans="1:4" x14ac:dyDescent="0.3">
      <c r="A35" s="14">
        <v>20</v>
      </c>
      <c r="B35" s="14">
        <f t="shared" si="1"/>
        <v>22</v>
      </c>
      <c r="C35" s="14">
        <f t="shared" si="1"/>
        <v>22</v>
      </c>
      <c r="D35" s="14"/>
    </row>
    <row r="36" spans="1:4" x14ac:dyDescent="0.3">
      <c r="A36" s="14">
        <v>22</v>
      </c>
      <c r="B36" s="14">
        <v>22</v>
      </c>
      <c r="C36" s="14">
        <v>22</v>
      </c>
      <c r="D36" s="14"/>
    </row>
    <row r="37" spans="1:4" x14ac:dyDescent="0.3">
      <c r="A37" s="14">
        <v>24</v>
      </c>
      <c r="B37" s="14">
        <f t="shared" ref="B37:C39" si="2">B38</f>
        <v>33</v>
      </c>
      <c r="C37" s="14">
        <f t="shared" si="2"/>
        <v>33</v>
      </c>
      <c r="D37" s="14"/>
    </row>
    <row r="38" spans="1:4" x14ac:dyDescent="0.3">
      <c r="A38" s="14">
        <v>27</v>
      </c>
      <c r="B38" s="14">
        <f t="shared" si="2"/>
        <v>33</v>
      </c>
      <c r="C38" s="14">
        <f t="shared" si="2"/>
        <v>33</v>
      </c>
      <c r="D38" s="14"/>
    </row>
    <row r="39" spans="1:4" x14ac:dyDescent="0.3">
      <c r="A39" s="14">
        <v>30</v>
      </c>
      <c r="B39" s="14">
        <f t="shared" si="2"/>
        <v>33</v>
      </c>
      <c r="C39" s="14">
        <f t="shared" si="2"/>
        <v>33</v>
      </c>
      <c r="D39" s="14"/>
    </row>
    <row r="40" spans="1:4" x14ac:dyDescent="0.3">
      <c r="A40" s="14">
        <v>33</v>
      </c>
      <c r="B40" s="14">
        <v>33</v>
      </c>
      <c r="C40" s="14">
        <v>33</v>
      </c>
      <c r="D40" s="14"/>
    </row>
    <row r="41" spans="1:4" x14ac:dyDescent="0.3">
      <c r="A41" s="14">
        <v>36</v>
      </c>
      <c r="B41" s="14">
        <f t="shared" ref="B41:C43" si="3">B42</f>
        <v>47</v>
      </c>
      <c r="C41" s="14">
        <f t="shared" si="3"/>
        <v>47</v>
      </c>
      <c r="D41" s="14"/>
    </row>
    <row r="42" spans="1:4" x14ac:dyDescent="0.3">
      <c r="A42" s="14">
        <v>39</v>
      </c>
      <c r="B42" s="14">
        <f t="shared" si="3"/>
        <v>47</v>
      </c>
      <c r="C42" s="14">
        <f t="shared" si="3"/>
        <v>47</v>
      </c>
      <c r="D42" s="14"/>
    </row>
    <row r="43" spans="1:4" x14ac:dyDescent="0.3">
      <c r="A43" s="14">
        <v>43</v>
      </c>
      <c r="B43" s="14">
        <f t="shared" si="3"/>
        <v>47</v>
      </c>
      <c r="C43" s="14">
        <f t="shared" si="3"/>
        <v>47</v>
      </c>
      <c r="D43" s="14"/>
    </row>
    <row r="44" spans="1:4" x14ac:dyDescent="0.3">
      <c r="A44" s="14">
        <v>47</v>
      </c>
      <c r="B44" s="14">
        <v>47</v>
      </c>
      <c r="C44" s="14">
        <v>47</v>
      </c>
      <c r="D44" s="14"/>
    </row>
    <row r="45" spans="1:4" x14ac:dyDescent="0.3">
      <c r="A45" s="14">
        <v>51</v>
      </c>
      <c r="B45" s="14">
        <f t="shared" ref="B45:C47" si="4">B46</f>
        <v>68</v>
      </c>
      <c r="C45" s="14">
        <f t="shared" si="4"/>
        <v>68</v>
      </c>
      <c r="D45" s="14"/>
    </row>
    <row r="46" spans="1:4" x14ac:dyDescent="0.3">
      <c r="A46" s="14">
        <v>56</v>
      </c>
      <c r="B46" s="14">
        <f t="shared" si="4"/>
        <v>68</v>
      </c>
      <c r="C46" s="14">
        <f t="shared" si="4"/>
        <v>68</v>
      </c>
      <c r="D46" s="14"/>
    </row>
    <row r="47" spans="1:4" x14ac:dyDescent="0.3">
      <c r="A47" s="14">
        <v>62</v>
      </c>
      <c r="B47" s="14">
        <f t="shared" si="4"/>
        <v>68</v>
      </c>
      <c r="C47" s="14">
        <f t="shared" si="4"/>
        <v>68</v>
      </c>
      <c r="D47" s="14"/>
    </row>
    <row r="48" spans="1:4" x14ac:dyDescent="0.3">
      <c r="A48" s="14">
        <v>68</v>
      </c>
      <c r="B48" s="14">
        <v>68</v>
      </c>
      <c r="C48" s="14">
        <v>68</v>
      </c>
      <c r="D48" s="14"/>
    </row>
    <row r="49" spans="1:4" x14ac:dyDescent="0.3">
      <c r="A49" s="14">
        <v>75</v>
      </c>
      <c r="B49" s="14">
        <f t="shared" ref="B49:C51" si="5">B50</f>
        <v>100</v>
      </c>
      <c r="C49" s="14">
        <f t="shared" si="5"/>
        <v>100</v>
      </c>
      <c r="D49" s="14"/>
    </row>
    <row r="50" spans="1:4" x14ac:dyDescent="0.3">
      <c r="A50" s="14">
        <v>82</v>
      </c>
      <c r="B50" s="14">
        <f t="shared" si="5"/>
        <v>100</v>
      </c>
      <c r="C50" s="14">
        <f t="shared" si="5"/>
        <v>100</v>
      </c>
      <c r="D50" s="14"/>
    </row>
    <row r="51" spans="1:4" x14ac:dyDescent="0.3">
      <c r="A51" s="14">
        <v>91</v>
      </c>
      <c r="B51" s="14">
        <f t="shared" si="5"/>
        <v>100</v>
      </c>
      <c r="C51" s="14">
        <f t="shared" si="5"/>
        <v>100</v>
      </c>
      <c r="D51" s="14"/>
    </row>
    <row r="52" spans="1:4" x14ac:dyDescent="0.3">
      <c r="A52" s="14">
        <v>100</v>
      </c>
      <c r="B52" s="14">
        <v>100</v>
      </c>
      <c r="C52" s="14">
        <v>100</v>
      </c>
    </row>
    <row r="53" spans="1:4" x14ac:dyDescent="0.3">
      <c r="A53" s="14">
        <v>110</v>
      </c>
      <c r="B53" s="14">
        <f t="shared" ref="B53:C55" si="6">B54</f>
        <v>150</v>
      </c>
      <c r="C53" s="14">
        <f t="shared" si="6"/>
        <v>150</v>
      </c>
    </row>
    <row r="54" spans="1:4" x14ac:dyDescent="0.3">
      <c r="A54" s="14">
        <v>120</v>
      </c>
      <c r="B54" s="14">
        <f t="shared" si="6"/>
        <v>150</v>
      </c>
      <c r="C54" s="14">
        <f t="shared" si="6"/>
        <v>150</v>
      </c>
    </row>
    <row r="55" spans="1:4" x14ac:dyDescent="0.3">
      <c r="A55" s="14">
        <v>130</v>
      </c>
      <c r="B55" s="14">
        <f t="shared" si="6"/>
        <v>150</v>
      </c>
      <c r="C55" s="14">
        <f t="shared" si="6"/>
        <v>150</v>
      </c>
    </row>
    <row r="56" spans="1:4" x14ac:dyDescent="0.3">
      <c r="A56" s="14">
        <v>150</v>
      </c>
      <c r="B56" s="14">
        <v>150</v>
      </c>
      <c r="C56" s="14">
        <v>150</v>
      </c>
    </row>
    <row r="57" spans="1:4" x14ac:dyDescent="0.3">
      <c r="A57" s="14">
        <v>160</v>
      </c>
      <c r="B57" s="14">
        <f t="shared" ref="B57:C59" si="7">B58</f>
        <v>220</v>
      </c>
      <c r="C57" s="14">
        <f t="shared" si="7"/>
        <v>220</v>
      </c>
    </row>
    <row r="58" spans="1:4" x14ac:dyDescent="0.3">
      <c r="A58" s="14">
        <v>180</v>
      </c>
      <c r="B58" s="14">
        <f t="shared" si="7"/>
        <v>220</v>
      </c>
      <c r="C58" s="14">
        <f t="shared" si="7"/>
        <v>220</v>
      </c>
    </row>
    <row r="59" spans="1:4" x14ac:dyDescent="0.3">
      <c r="A59" s="14">
        <v>200</v>
      </c>
      <c r="B59" s="14">
        <f t="shared" si="7"/>
        <v>220</v>
      </c>
      <c r="C59" s="14">
        <f t="shared" si="7"/>
        <v>220</v>
      </c>
    </row>
    <row r="60" spans="1:4" x14ac:dyDescent="0.3">
      <c r="A60" s="14">
        <v>220</v>
      </c>
      <c r="B60" s="14">
        <v>220</v>
      </c>
      <c r="C60" s="14">
        <v>220</v>
      </c>
    </row>
    <row r="61" spans="1:4" x14ac:dyDescent="0.3">
      <c r="A61" s="14">
        <v>240</v>
      </c>
      <c r="B61" s="14">
        <f t="shared" ref="B61:C63" si="8">B62</f>
        <v>330</v>
      </c>
      <c r="C61" s="14">
        <f t="shared" si="8"/>
        <v>330</v>
      </c>
    </row>
    <row r="62" spans="1:4" x14ac:dyDescent="0.3">
      <c r="A62" s="14">
        <v>270</v>
      </c>
      <c r="B62" s="14">
        <f t="shared" si="8"/>
        <v>330</v>
      </c>
      <c r="C62" s="14">
        <f t="shared" si="8"/>
        <v>330</v>
      </c>
    </row>
    <row r="63" spans="1:4" x14ac:dyDescent="0.3">
      <c r="A63" s="14">
        <v>300</v>
      </c>
      <c r="B63" s="14">
        <f t="shared" si="8"/>
        <v>330</v>
      </c>
      <c r="C63" s="14">
        <f t="shared" si="8"/>
        <v>330</v>
      </c>
    </row>
    <row r="64" spans="1:4" x14ac:dyDescent="0.3">
      <c r="A64" s="14">
        <v>330</v>
      </c>
      <c r="B64" s="14">
        <v>330</v>
      </c>
      <c r="C64" s="14">
        <v>330</v>
      </c>
    </row>
    <row r="65" spans="1:3" x14ac:dyDescent="0.3">
      <c r="A65" s="14">
        <v>360</v>
      </c>
      <c r="B65" s="14">
        <f t="shared" ref="B65:C67" si="9">B66</f>
        <v>470</v>
      </c>
      <c r="C65" s="14">
        <f t="shared" si="9"/>
        <v>470</v>
      </c>
    </row>
    <row r="66" spans="1:3" x14ac:dyDescent="0.3">
      <c r="A66" s="14">
        <v>390</v>
      </c>
      <c r="B66" s="14">
        <f t="shared" si="9"/>
        <v>470</v>
      </c>
      <c r="C66" s="14">
        <f t="shared" si="9"/>
        <v>470</v>
      </c>
    </row>
    <row r="67" spans="1:3" x14ac:dyDescent="0.3">
      <c r="A67" s="14">
        <v>430</v>
      </c>
      <c r="B67" s="14">
        <f t="shared" si="9"/>
        <v>470</v>
      </c>
      <c r="C67" s="14">
        <f t="shared" si="9"/>
        <v>470</v>
      </c>
    </row>
    <row r="68" spans="1:3" x14ac:dyDescent="0.3">
      <c r="A68" s="14">
        <v>470</v>
      </c>
      <c r="B68" s="14">
        <v>470</v>
      </c>
      <c r="C68" s="14">
        <v>470</v>
      </c>
    </row>
    <row r="69" spans="1:3" x14ac:dyDescent="0.3">
      <c r="A69" s="14">
        <v>510</v>
      </c>
      <c r="B69" s="14">
        <f t="shared" ref="B69:C71" si="10">B70</f>
        <v>680</v>
      </c>
      <c r="C69" s="14">
        <f t="shared" si="10"/>
        <v>680</v>
      </c>
    </row>
    <row r="70" spans="1:3" x14ac:dyDescent="0.3">
      <c r="A70" s="14">
        <v>560</v>
      </c>
      <c r="B70" s="14">
        <f t="shared" si="10"/>
        <v>680</v>
      </c>
      <c r="C70" s="14">
        <f t="shared" si="10"/>
        <v>680</v>
      </c>
    </row>
    <row r="71" spans="1:3" x14ac:dyDescent="0.3">
      <c r="A71" s="14">
        <v>620</v>
      </c>
      <c r="B71" s="14">
        <f t="shared" si="10"/>
        <v>680</v>
      </c>
      <c r="C71" s="14">
        <f t="shared" si="10"/>
        <v>680</v>
      </c>
    </row>
    <row r="72" spans="1:3" x14ac:dyDescent="0.3">
      <c r="A72" s="14">
        <v>680</v>
      </c>
      <c r="B72" s="14">
        <v>680</v>
      </c>
      <c r="C72" s="14">
        <v>680</v>
      </c>
    </row>
    <row r="73" spans="1:3" x14ac:dyDescent="0.3">
      <c r="A73" s="14">
        <v>750</v>
      </c>
      <c r="B73" s="14">
        <f>B74</f>
        <v>1000</v>
      </c>
      <c r="C73" s="14">
        <f>C74</f>
        <v>1000</v>
      </c>
    </row>
    <row r="74" spans="1:3" x14ac:dyDescent="0.3">
      <c r="A74" s="14">
        <v>820</v>
      </c>
      <c r="B74" s="14">
        <f>B75</f>
        <v>1000</v>
      </c>
      <c r="C74" s="14">
        <f>C75</f>
        <v>1000</v>
      </c>
    </row>
    <row r="75" spans="1:3" x14ac:dyDescent="0.3">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E7" sqref="E7"/>
    </sheetView>
  </sheetViews>
  <sheetFormatPr defaultRowHeight="14.4" x14ac:dyDescent="0.3"/>
  <cols>
    <col min="5" max="5" width="18.77734375" bestFit="1" customWidth="1"/>
    <col min="6" max="6" width="18.77734375" customWidth="1"/>
    <col min="7" max="7" width="9.77734375" bestFit="1" customWidth="1"/>
  </cols>
  <sheetData>
    <row r="1" spans="1:7" x14ac:dyDescent="0.3">
      <c r="A1" t="s">
        <v>126</v>
      </c>
      <c r="B1" t="s">
        <v>127</v>
      </c>
      <c r="C1" t="s">
        <v>128</v>
      </c>
      <c r="D1" t="s">
        <v>129</v>
      </c>
      <c r="E1" t="s">
        <v>130</v>
      </c>
      <c r="F1" t="s">
        <v>131</v>
      </c>
      <c r="G1" t="s">
        <v>132</v>
      </c>
    </row>
    <row r="2" spans="1:7" x14ac:dyDescent="0.3">
      <c r="A2">
        <v>25</v>
      </c>
      <c r="B2">
        <v>5.3529999999999998</v>
      </c>
      <c r="C2">
        <v>0.27399299999999999</v>
      </c>
      <c r="E2">
        <v>16</v>
      </c>
      <c r="F2">
        <f>E2*1000</f>
        <v>16000</v>
      </c>
      <c r="G2" s="154">
        <f>B2*C2</f>
        <v>1.4666845289999999</v>
      </c>
    </row>
    <row r="3" spans="1:7" x14ac:dyDescent="0.3">
      <c r="A3">
        <v>25</v>
      </c>
      <c r="B3">
        <v>6.8410000000000002</v>
      </c>
      <c r="C3">
        <v>0.27075900000000003</v>
      </c>
      <c r="E3">
        <v>16</v>
      </c>
      <c r="F3">
        <f t="shared" ref="F3:F21" si="0">E3*1000</f>
        <v>16000</v>
      </c>
      <c r="G3" s="154">
        <f>B3*C3</f>
        <v>1.8522623190000003</v>
      </c>
    </row>
    <row r="4" spans="1:7" x14ac:dyDescent="0.3">
      <c r="A4">
        <v>25</v>
      </c>
      <c r="B4">
        <v>8.9481760000000001</v>
      </c>
      <c r="C4">
        <v>0.261876</v>
      </c>
      <c r="D4">
        <v>13894435</v>
      </c>
      <c r="E4">
        <v>13.894435</v>
      </c>
      <c r="F4">
        <f t="shared" si="0"/>
        <v>13894.434999999999</v>
      </c>
      <c r="G4" s="154">
        <v>2.3433130000000002</v>
      </c>
    </row>
    <row r="5" spans="1:7" x14ac:dyDescent="0.3">
      <c r="A5">
        <v>25</v>
      </c>
      <c r="B5">
        <v>11.915012000000001</v>
      </c>
      <c r="C5">
        <v>0.26701200000000003</v>
      </c>
      <c r="D5">
        <v>2313228</v>
      </c>
      <c r="E5">
        <v>2.3132280000000001</v>
      </c>
      <c r="F5">
        <f t="shared" si="0"/>
        <v>2313.2280000000001</v>
      </c>
      <c r="G5" s="154">
        <v>3.181451</v>
      </c>
    </row>
    <row r="6" spans="1:7" x14ac:dyDescent="0.3">
      <c r="A6">
        <v>25</v>
      </c>
      <c r="B6">
        <v>14.348407999999999</v>
      </c>
      <c r="C6">
        <v>0.27335700000000002</v>
      </c>
      <c r="D6">
        <v>1179238</v>
      </c>
      <c r="E6">
        <v>1.179238</v>
      </c>
      <c r="F6">
        <f t="shared" si="0"/>
        <v>1179.2380000000001</v>
      </c>
      <c r="G6" s="154">
        <v>3.9222380000000001</v>
      </c>
    </row>
    <row r="7" spans="1:7" x14ac:dyDescent="0.3">
      <c r="A7">
        <v>25</v>
      </c>
      <c r="B7">
        <v>17.190396</v>
      </c>
      <c r="C7">
        <v>0.28403200000000001</v>
      </c>
      <c r="D7">
        <v>658129</v>
      </c>
      <c r="E7">
        <v>0.65812899999999996</v>
      </c>
      <c r="F7">
        <f t="shared" si="0"/>
        <v>658.12900000000002</v>
      </c>
      <c r="G7" s="154">
        <v>4.8826229999999997</v>
      </c>
    </row>
    <row r="8" spans="1:7" x14ac:dyDescent="0.3">
      <c r="A8">
        <v>25</v>
      </c>
      <c r="B8">
        <v>19.799713000000001</v>
      </c>
      <c r="C8">
        <v>0.29450599999999999</v>
      </c>
      <c r="D8">
        <v>420662</v>
      </c>
      <c r="E8">
        <v>0.42066199999999998</v>
      </c>
      <c r="F8">
        <f t="shared" si="0"/>
        <v>420.66199999999998</v>
      </c>
      <c r="G8" s="154">
        <v>5.8311339999999996</v>
      </c>
    </row>
    <row r="9" spans="1:7" x14ac:dyDescent="0.3">
      <c r="A9">
        <v>25</v>
      </c>
      <c r="B9">
        <v>5.3110600000000003</v>
      </c>
      <c r="C9">
        <v>1.316289</v>
      </c>
      <c r="D9">
        <v>130330</v>
      </c>
      <c r="E9">
        <v>0.13033</v>
      </c>
      <c r="F9">
        <f t="shared" si="0"/>
        <v>130.33000000000001</v>
      </c>
      <c r="G9" s="154">
        <v>6.9908900000000003</v>
      </c>
    </row>
    <row r="10" spans="1:7" x14ac:dyDescent="0.3">
      <c r="A10">
        <v>25</v>
      </c>
      <c r="B10">
        <v>6.8197210000000004</v>
      </c>
      <c r="C10">
        <v>1.203395</v>
      </c>
      <c r="D10">
        <v>30506</v>
      </c>
      <c r="E10">
        <v>3.0505999999999998E-2</v>
      </c>
      <c r="F10">
        <f t="shared" si="0"/>
        <v>30.505999999999997</v>
      </c>
      <c r="G10" s="154">
        <v>8.2068180000000002</v>
      </c>
    </row>
    <row r="11" spans="1:7" x14ac:dyDescent="0.3">
      <c r="A11">
        <v>25</v>
      </c>
      <c r="B11">
        <v>7.324999</v>
      </c>
      <c r="C11">
        <v>1.211452</v>
      </c>
      <c r="D11">
        <v>19211</v>
      </c>
      <c r="E11">
        <v>1.9210999999999999E-2</v>
      </c>
      <c r="F11">
        <f t="shared" si="0"/>
        <v>19.210999999999999</v>
      </c>
      <c r="G11" s="154">
        <v>8.8738849999999996</v>
      </c>
    </row>
    <row r="12" spans="1:7" x14ac:dyDescent="0.3">
      <c r="A12">
        <v>25</v>
      </c>
      <c r="B12">
        <v>8.7722549999999995</v>
      </c>
      <c r="C12">
        <v>1.166436</v>
      </c>
      <c r="D12">
        <v>6257</v>
      </c>
      <c r="E12">
        <v>6.2570000000000004E-3</v>
      </c>
      <c r="F12">
        <f t="shared" si="0"/>
        <v>6.2570000000000006</v>
      </c>
      <c r="G12" s="154">
        <v>10.232274</v>
      </c>
    </row>
    <row r="13" spans="1:7" x14ac:dyDescent="0.3">
      <c r="A13">
        <v>25</v>
      </c>
      <c r="B13">
        <v>16.575237000000001</v>
      </c>
      <c r="C13">
        <v>1.2151780000000001</v>
      </c>
      <c r="D13">
        <v>915</v>
      </c>
      <c r="E13">
        <v>9.1500000000000001E-4</v>
      </c>
      <c r="F13">
        <f t="shared" si="0"/>
        <v>0.91500000000000004</v>
      </c>
      <c r="G13" s="154">
        <v>20.141863000000001</v>
      </c>
    </row>
    <row r="14" spans="1:7" x14ac:dyDescent="0.3">
      <c r="A14">
        <v>25</v>
      </c>
      <c r="B14">
        <v>6.856617</v>
      </c>
      <c r="C14">
        <v>4.7034180000000001</v>
      </c>
      <c r="D14">
        <v>323</v>
      </c>
      <c r="E14">
        <v>3.2299999999999999E-4</v>
      </c>
      <c r="F14">
        <f t="shared" si="0"/>
        <v>0.32300000000000001</v>
      </c>
      <c r="G14" s="154">
        <v>32.249535999999999</v>
      </c>
    </row>
    <row r="15" spans="1:7" x14ac:dyDescent="0.3">
      <c r="A15">
        <v>25</v>
      </c>
      <c r="B15">
        <v>9.1899270000000008</v>
      </c>
      <c r="C15">
        <v>4.4264710000000003</v>
      </c>
      <c r="D15">
        <v>209</v>
      </c>
      <c r="E15">
        <v>2.0900000000000001E-4</v>
      </c>
      <c r="F15">
        <f t="shared" si="0"/>
        <v>0.20900000000000002</v>
      </c>
      <c r="G15" s="154">
        <v>40.678944999999999</v>
      </c>
    </row>
    <row r="16" spans="1:7" x14ac:dyDescent="0.3">
      <c r="A16">
        <v>25</v>
      </c>
      <c r="B16">
        <v>12.114768</v>
      </c>
      <c r="C16">
        <v>4.2250550000000002</v>
      </c>
      <c r="D16">
        <v>146</v>
      </c>
      <c r="E16">
        <v>1.46E-4</v>
      </c>
      <c r="F16">
        <f t="shared" si="0"/>
        <v>0.14599999999999999</v>
      </c>
      <c r="G16" s="154">
        <v>51.185561</v>
      </c>
    </row>
    <row r="17" spans="1:13" x14ac:dyDescent="0.3">
      <c r="A17">
        <v>25</v>
      </c>
      <c r="B17">
        <v>14.038558</v>
      </c>
      <c r="C17">
        <v>4.4889099999999997</v>
      </c>
      <c r="D17">
        <v>122</v>
      </c>
      <c r="E17">
        <v>1.22E-4</v>
      </c>
      <c r="F17">
        <f t="shared" si="0"/>
        <v>0.122</v>
      </c>
      <c r="G17" s="154">
        <v>63.017823</v>
      </c>
    </row>
    <row r="18" spans="1:13" x14ac:dyDescent="0.3">
      <c r="A18">
        <v>25</v>
      </c>
      <c r="B18">
        <v>15.945323</v>
      </c>
      <c r="C18">
        <v>4.56142</v>
      </c>
      <c r="D18">
        <v>105</v>
      </c>
      <c r="E18">
        <v>1.05E-4</v>
      </c>
      <c r="F18">
        <f t="shared" si="0"/>
        <v>0.10500000000000001</v>
      </c>
      <c r="G18" s="154">
        <v>72.733315000000005</v>
      </c>
    </row>
    <row r="19" spans="1:13" x14ac:dyDescent="0.3">
      <c r="A19">
        <v>25</v>
      </c>
      <c r="B19">
        <v>17.325458000000001</v>
      </c>
      <c r="C19">
        <v>4.6057309999999996</v>
      </c>
      <c r="D19">
        <v>98</v>
      </c>
      <c r="E19">
        <v>9.7999999999999997E-5</v>
      </c>
      <c r="F19">
        <f t="shared" si="0"/>
        <v>9.8000000000000004E-2</v>
      </c>
      <c r="G19" s="154">
        <v>79.796398999999994</v>
      </c>
    </row>
    <row r="20" spans="1:13" x14ac:dyDescent="0.3">
      <c r="A20">
        <v>25</v>
      </c>
      <c r="B20">
        <v>17.806688999999999</v>
      </c>
      <c r="C20">
        <v>4.6369509999999998</v>
      </c>
      <c r="D20">
        <v>95</v>
      </c>
      <c r="E20">
        <v>9.5000000000000005E-5</v>
      </c>
      <c r="F20">
        <f t="shared" si="0"/>
        <v>9.5000000000000001E-2</v>
      </c>
      <c r="G20" s="154">
        <v>82.568743999999995</v>
      </c>
    </row>
    <row r="21" spans="1:13" x14ac:dyDescent="0.3">
      <c r="A21">
        <v>25</v>
      </c>
      <c r="B21">
        <v>19.580662</v>
      </c>
      <c r="C21">
        <v>4.6802549999999998</v>
      </c>
      <c r="D21">
        <v>87</v>
      </c>
      <c r="E21">
        <v>8.7000000000000001E-5</v>
      </c>
      <c r="F21">
        <f t="shared" si="0"/>
        <v>8.6999999999999994E-2</v>
      </c>
      <c r="G21" s="154">
        <v>91.642491000000007</v>
      </c>
    </row>
    <row r="24" spans="1:13" x14ac:dyDescent="0.3">
      <c r="L24" s="38"/>
      <c r="M24" s="38"/>
    </row>
    <row r="25" spans="1:13" x14ac:dyDescent="0.3">
      <c r="L25" s="38"/>
      <c r="M25" s="38"/>
    </row>
    <row r="28" spans="1:13" x14ac:dyDescent="0.3">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4.4" x14ac:dyDescent="0.3"/>
  <cols>
    <col min="5" max="5" width="9.77734375" bestFit="1" customWidth="1"/>
    <col min="6" max="6" width="18.77734375" bestFit="1" customWidth="1"/>
    <col min="7" max="7" width="18.77734375" customWidth="1"/>
    <col min="8" max="8" width="20" bestFit="1" customWidth="1"/>
  </cols>
  <sheetData>
    <row r="1" spans="2:26" x14ac:dyDescent="0.3">
      <c r="B1" t="s">
        <v>127</v>
      </c>
      <c r="C1" t="s">
        <v>128</v>
      </c>
      <c r="D1" t="s">
        <v>129</v>
      </c>
      <c r="E1" t="s">
        <v>132</v>
      </c>
      <c r="F1" t="s">
        <v>130</v>
      </c>
      <c r="G1" t="s">
        <v>142</v>
      </c>
      <c r="H1" t="s">
        <v>143</v>
      </c>
      <c r="S1">
        <v>-40</v>
      </c>
      <c r="U1">
        <v>25</v>
      </c>
      <c r="W1">
        <v>85</v>
      </c>
      <c r="Y1">
        <v>125</v>
      </c>
    </row>
    <row r="2" spans="2:26" x14ac:dyDescent="0.3">
      <c r="S2">
        <v>4.5018440000000002</v>
      </c>
      <c r="T2">
        <v>2031.0100000000002</v>
      </c>
      <c r="U2">
        <v>2.1376979999999999</v>
      </c>
      <c r="V2">
        <v>23021.011000000002</v>
      </c>
      <c r="W2">
        <v>1.3278490000000001</v>
      </c>
      <c r="X2">
        <v>20761.421999999999</v>
      </c>
      <c r="Y2">
        <v>1.0391170000000001</v>
      </c>
      <c r="Z2">
        <v>782.36500000000001</v>
      </c>
    </row>
    <row r="3" spans="2:26" x14ac:dyDescent="0.3">
      <c r="B3">
        <v>2.758</v>
      </c>
      <c r="C3">
        <v>0.34</v>
      </c>
      <c r="E3" s="157">
        <f>B3*C3</f>
        <v>0.93772000000000011</v>
      </c>
      <c r="H3">
        <v>25</v>
      </c>
      <c r="S3">
        <v>4.8419489999999996</v>
      </c>
      <c r="T3">
        <v>1365.979</v>
      </c>
      <c r="U3">
        <v>2.1589710000000002</v>
      </c>
      <c r="V3">
        <v>19870.804</v>
      </c>
      <c r="W3">
        <v>1.345315</v>
      </c>
      <c r="X3">
        <v>14738.652999999998</v>
      </c>
      <c r="Y3">
        <v>1.1385240000000001</v>
      </c>
      <c r="Z3">
        <v>583.23</v>
      </c>
    </row>
    <row r="4" spans="2:26" x14ac:dyDescent="0.3">
      <c r="B4">
        <v>2.771344</v>
      </c>
      <c r="C4">
        <v>0.77135799999999999</v>
      </c>
      <c r="D4">
        <v>23021011</v>
      </c>
      <c r="E4" s="157">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3">
      <c r="B5">
        <v>2.8697349999999999</v>
      </c>
      <c r="C5">
        <v>0.75232399999999999</v>
      </c>
      <c r="D5">
        <v>19870804</v>
      </c>
      <c r="E5" s="157">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3">
      <c r="B6">
        <v>3.197705</v>
      </c>
      <c r="C6">
        <v>0.70589800000000003</v>
      </c>
      <c r="D6">
        <v>9809087</v>
      </c>
      <c r="E6" s="157">
        <v>2.2572540000000001</v>
      </c>
      <c r="F6">
        <v>9.8090869999999999</v>
      </c>
      <c r="G6">
        <f t="shared" si="0"/>
        <v>9809.0869999999995</v>
      </c>
      <c r="H6">
        <v>25</v>
      </c>
      <c r="S6">
        <v>6.4502550000000003</v>
      </c>
      <c r="T6">
        <v>505.13200000000001</v>
      </c>
      <c r="U6" s="157">
        <v>4.5550519999999999</v>
      </c>
      <c r="V6">
        <v>497.69499999999999</v>
      </c>
      <c r="W6">
        <v>2.1513749999999998</v>
      </c>
      <c r="X6">
        <v>750.42699999999991</v>
      </c>
      <c r="Y6">
        <v>4.087796</v>
      </c>
      <c r="Z6">
        <v>12.623000000000001</v>
      </c>
    </row>
    <row r="7" spans="2:26" x14ac:dyDescent="0.3">
      <c r="B7">
        <v>3.4016609999999998</v>
      </c>
      <c r="C7">
        <v>0.68696500000000005</v>
      </c>
      <c r="D7">
        <v>7830796</v>
      </c>
      <c r="E7" s="157">
        <v>2.3368220000000002</v>
      </c>
      <c r="F7">
        <v>7.8307960000000003</v>
      </c>
      <c r="G7">
        <f t="shared" si="0"/>
        <v>7830.7960000000003</v>
      </c>
      <c r="H7">
        <v>25</v>
      </c>
      <c r="S7">
        <v>14.795442</v>
      </c>
      <c r="T7">
        <v>36.134</v>
      </c>
      <c r="U7" s="157">
        <v>4.8378249999999996</v>
      </c>
      <c r="V7">
        <v>375.97399999999999</v>
      </c>
      <c r="W7">
        <v>2.597</v>
      </c>
      <c r="X7">
        <v>405.90500000000003</v>
      </c>
      <c r="Y7">
        <v>4.6233829999999996</v>
      </c>
      <c r="Z7">
        <v>10.184000000000001</v>
      </c>
    </row>
    <row r="8" spans="2:26" x14ac:dyDescent="0.3">
      <c r="B8">
        <v>2.608384</v>
      </c>
      <c r="C8">
        <v>1.7463120000000001</v>
      </c>
      <c r="D8">
        <v>497695</v>
      </c>
      <c r="E8" s="157">
        <v>4.5550519999999999</v>
      </c>
      <c r="F8">
        <v>0.497695</v>
      </c>
      <c r="G8">
        <f>1000*F8</f>
        <v>497.69499999999999</v>
      </c>
      <c r="H8">
        <v>25</v>
      </c>
      <c r="S8">
        <v>18.052776999999999</v>
      </c>
      <c r="T8">
        <v>28.509</v>
      </c>
      <c r="U8" s="157">
        <v>5.3452330000000003</v>
      </c>
      <c r="V8">
        <v>281.928</v>
      </c>
      <c r="W8">
        <v>4.8429399999999996</v>
      </c>
      <c r="X8">
        <v>73.719000000000008</v>
      </c>
      <c r="Y8">
        <v>5.023212</v>
      </c>
      <c r="Z8">
        <v>8.0069999999999997</v>
      </c>
    </row>
    <row r="9" spans="2:26" x14ac:dyDescent="0.3">
      <c r="B9">
        <v>3.2622740000000001</v>
      </c>
      <c r="C9">
        <v>1.482961</v>
      </c>
      <c r="D9">
        <v>375974</v>
      </c>
      <c r="E9" s="157">
        <v>4.8378249999999996</v>
      </c>
      <c r="F9">
        <v>0.37597399999999997</v>
      </c>
      <c r="G9">
        <f t="shared" ref="G9:G63" si="1">1000*F9</f>
        <v>375.97399999999999</v>
      </c>
      <c r="H9">
        <v>25</v>
      </c>
      <c r="S9">
        <v>19.983069</v>
      </c>
      <c r="T9">
        <v>22.233000000000001</v>
      </c>
      <c r="U9" s="157">
        <v>5.8724150000000002</v>
      </c>
      <c r="V9">
        <v>220.768</v>
      </c>
      <c r="W9">
        <v>5.3878149999999998</v>
      </c>
      <c r="X9">
        <v>56.152999999999999</v>
      </c>
      <c r="Y9">
        <v>5.5319539999999998</v>
      </c>
      <c r="Z9">
        <v>6.375</v>
      </c>
    </row>
    <row r="10" spans="2:26" x14ac:dyDescent="0.3">
      <c r="B10">
        <v>3.781901</v>
      </c>
      <c r="C10">
        <v>1.4133720000000001</v>
      </c>
      <c r="D10">
        <v>281928</v>
      </c>
      <c r="E10" s="157">
        <v>5.3452330000000003</v>
      </c>
      <c r="F10">
        <v>0.28192800000000001</v>
      </c>
      <c r="G10">
        <f t="shared" si="1"/>
        <v>281.928</v>
      </c>
      <c r="H10">
        <v>25</v>
      </c>
      <c r="S10">
        <v>22.382984</v>
      </c>
      <c r="T10">
        <v>17.659000000000002</v>
      </c>
      <c r="U10" s="157">
        <v>6.3085209999999998</v>
      </c>
      <c r="V10">
        <v>169.96100000000001</v>
      </c>
      <c r="W10">
        <v>5.8753190000000002</v>
      </c>
      <c r="X10">
        <v>43.491</v>
      </c>
      <c r="Y10">
        <v>6.1079949999999998</v>
      </c>
      <c r="Z10">
        <v>5.1479999999999997</v>
      </c>
    </row>
    <row r="11" spans="2:26" x14ac:dyDescent="0.3">
      <c r="B11">
        <v>4.2953789999999996</v>
      </c>
      <c r="C11">
        <v>1.3671469999999999</v>
      </c>
      <c r="D11">
        <v>220768</v>
      </c>
      <c r="E11" s="157">
        <v>5.8724150000000002</v>
      </c>
      <c r="F11">
        <v>0.22076799999999999</v>
      </c>
      <c r="G11">
        <f t="shared" si="1"/>
        <v>220.768</v>
      </c>
      <c r="H11">
        <v>25</v>
      </c>
      <c r="U11" s="157">
        <v>17.054611000000001</v>
      </c>
      <c r="V11">
        <v>14.929</v>
      </c>
      <c r="W11">
        <v>6.403435</v>
      </c>
      <c r="X11">
        <v>34.577999999999996</v>
      </c>
      <c r="Y11">
        <v>16.830774000000002</v>
      </c>
      <c r="Z11">
        <v>0.625</v>
      </c>
    </row>
    <row r="12" spans="2:26" x14ac:dyDescent="0.3">
      <c r="B12">
        <v>4.7996319999999999</v>
      </c>
      <c r="C12">
        <v>1.314376</v>
      </c>
      <c r="D12">
        <v>169961</v>
      </c>
      <c r="E12" s="157">
        <v>6.3085209999999998</v>
      </c>
      <c r="F12">
        <v>0.169961</v>
      </c>
      <c r="G12">
        <f t="shared" si="1"/>
        <v>169.96100000000001</v>
      </c>
      <c r="H12">
        <v>25</v>
      </c>
      <c r="U12" s="157">
        <v>18.871649000000001</v>
      </c>
      <c r="V12">
        <v>11.42</v>
      </c>
      <c r="W12">
        <v>16.844407</v>
      </c>
      <c r="X12">
        <v>3.718</v>
      </c>
      <c r="Y12">
        <v>18.476970999999999</v>
      </c>
      <c r="Z12">
        <v>0.501</v>
      </c>
    </row>
    <row r="13" spans="2:26" x14ac:dyDescent="0.3">
      <c r="B13">
        <v>3.2059039999999999</v>
      </c>
      <c r="C13">
        <v>5.3197510000000001</v>
      </c>
      <c r="D13">
        <v>14929</v>
      </c>
      <c r="E13" s="157">
        <v>17.054611000000001</v>
      </c>
      <c r="F13">
        <v>1.4929E-2</v>
      </c>
      <c r="G13">
        <f t="shared" si="1"/>
        <v>14.929</v>
      </c>
      <c r="H13">
        <v>25</v>
      </c>
      <c r="U13" s="157">
        <v>20.611383</v>
      </c>
      <c r="V13">
        <v>9.0839999999999996</v>
      </c>
      <c r="W13">
        <v>18.913537000000002</v>
      </c>
      <c r="X13">
        <v>2.879</v>
      </c>
      <c r="Y13">
        <v>21.184594000000001</v>
      </c>
      <c r="Z13">
        <v>0.40400000000000003</v>
      </c>
    </row>
    <row r="14" spans="2:26" x14ac:dyDescent="0.3">
      <c r="B14">
        <v>3.7296309999999999</v>
      </c>
      <c r="C14">
        <v>5.0599239999999996</v>
      </c>
      <c r="D14">
        <v>11420</v>
      </c>
      <c r="E14" s="157">
        <v>18.871649000000001</v>
      </c>
      <c r="F14">
        <v>1.142E-2</v>
      </c>
      <c r="G14">
        <f t="shared" si="1"/>
        <v>11.42</v>
      </c>
      <c r="H14">
        <v>25</v>
      </c>
      <c r="U14" s="157">
        <v>23.036021999999999</v>
      </c>
      <c r="V14">
        <v>7.226</v>
      </c>
      <c r="W14">
        <v>21.181204999999999</v>
      </c>
      <c r="X14">
        <v>2.2850000000000001</v>
      </c>
      <c r="Y14">
        <v>23.563647</v>
      </c>
      <c r="Z14">
        <v>0.34900000000000003</v>
      </c>
    </row>
    <row r="15" spans="2:26" x14ac:dyDescent="0.3">
      <c r="B15">
        <v>4.2256850000000004</v>
      </c>
      <c r="C15">
        <v>4.877643</v>
      </c>
      <c r="D15">
        <v>9084</v>
      </c>
      <c r="E15" s="157">
        <v>20.611383</v>
      </c>
      <c r="F15">
        <v>9.0840000000000001E-3</v>
      </c>
      <c r="G15">
        <f t="shared" si="1"/>
        <v>9.0839999999999996</v>
      </c>
      <c r="H15">
        <v>25</v>
      </c>
      <c r="W15">
        <v>23.257106</v>
      </c>
      <c r="X15">
        <v>1.6759999999999999</v>
      </c>
    </row>
    <row r="16" spans="2:26" x14ac:dyDescent="0.3">
      <c r="B16">
        <v>4.7453120000000002</v>
      </c>
      <c r="C16">
        <v>4.8544799999999997</v>
      </c>
      <c r="D16">
        <v>7226</v>
      </c>
      <c r="E16" s="157">
        <v>23.036021999999999</v>
      </c>
      <c r="F16">
        <v>7.2259999999999998E-3</v>
      </c>
      <c r="G16">
        <f t="shared" si="1"/>
        <v>7.226</v>
      </c>
      <c r="H16">
        <v>25</v>
      </c>
    </row>
    <row r="17" spans="2:8" x14ac:dyDescent="0.3">
      <c r="G17">
        <f t="shared" si="1"/>
        <v>0</v>
      </c>
    </row>
    <row r="18" spans="2:8" x14ac:dyDescent="0.3">
      <c r="B18">
        <v>3.4369999999999998</v>
      </c>
      <c r="C18">
        <v>0.25950299999999998</v>
      </c>
      <c r="E18">
        <f>B18*C18</f>
        <v>0.89191181099999994</v>
      </c>
      <c r="G18">
        <f t="shared" si="1"/>
        <v>0</v>
      </c>
      <c r="H18">
        <v>85</v>
      </c>
    </row>
    <row r="19" spans="2:8" x14ac:dyDescent="0.3">
      <c r="B19">
        <v>3.9350000000000001</v>
      </c>
      <c r="C19">
        <v>0.24207899999999999</v>
      </c>
      <c r="E19">
        <f>B19*C19</f>
        <v>0.95258086499999994</v>
      </c>
      <c r="G19">
        <f t="shared" si="1"/>
        <v>0</v>
      </c>
      <c r="H19">
        <v>85</v>
      </c>
    </row>
    <row r="20" spans="2:8" x14ac:dyDescent="0.3">
      <c r="B20">
        <v>4.45</v>
      </c>
      <c r="C20">
        <v>0.2747</v>
      </c>
      <c r="E20">
        <f>B20*C20</f>
        <v>1.222415</v>
      </c>
      <c r="G20">
        <f t="shared" si="1"/>
        <v>0</v>
      </c>
      <c r="H20">
        <v>85</v>
      </c>
    </row>
    <row r="21" spans="2:8" x14ac:dyDescent="0.3">
      <c r="B21">
        <v>4.7852829999999997</v>
      </c>
      <c r="C21">
        <v>0.27748600000000001</v>
      </c>
      <c r="D21">
        <v>20761422</v>
      </c>
      <c r="E21">
        <v>1.3278490000000001</v>
      </c>
      <c r="F21">
        <v>20.761422</v>
      </c>
      <c r="G21">
        <f t="shared" si="1"/>
        <v>20761.421999999999</v>
      </c>
      <c r="H21">
        <v>85</v>
      </c>
    </row>
    <row r="22" spans="2:8" x14ac:dyDescent="0.3">
      <c r="B22">
        <v>4.8836740000000001</v>
      </c>
      <c r="C22">
        <v>0.27547199999999999</v>
      </c>
      <c r="D22">
        <v>14738653</v>
      </c>
      <c r="E22">
        <v>1.345315</v>
      </c>
      <c r="F22">
        <v>14.738652999999999</v>
      </c>
      <c r="G22">
        <f t="shared" si="1"/>
        <v>14738.652999999998</v>
      </c>
      <c r="H22">
        <v>85</v>
      </c>
    </row>
    <row r="23" spans="2:8" x14ac:dyDescent="0.3">
      <c r="B23">
        <v>4.9851400000000003</v>
      </c>
      <c r="C23">
        <v>0.27446500000000001</v>
      </c>
      <c r="D23">
        <v>11355892</v>
      </c>
      <c r="E23">
        <v>1.3682460000000001</v>
      </c>
      <c r="F23">
        <v>11.355892000000001</v>
      </c>
      <c r="G23">
        <f t="shared" si="1"/>
        <v>11355.892000000002</v>
      </c>
      <c r="H23">
        <v>85</v>
      </c>
    </row>
    <row r="24" spans="2:8" x14ac:dyDescent="0.3">
      <c r="B24">
        <v>2.561239</v>
      </c>
      <c r="C24">
        <v>0.82644499999999999</v>
      </c>
      <c r="D24">
        <v>780520</v>
      </c>
      <c r="E24">
        <v>2.1167229999999999</v>
      </c>
      <c r="F24">
        <v>0.78051999999999999</v>
      </c>
      <c r="G24">
        <f t="shared" si="1"/>
        <v>780.52</v>
      </c>
      <c r="H24">
        <v>85</v>
      </c>
    </row>
    <row r="25" spans="2:8" x14ac:dyDescent="0.3">
      <c r="B25">
        <v>2.771344</v>
      </c>
      <c r="C25">
        <v>0.77629300000000001</v>
      </c>
      <c r="D25">
        <v>750427</v>
      </c>
      <c r="E25">
        <v>2.1513749999999998</v>
      </c>
      <c r="F25">
        <v>0.75042699999999996</v>
      </c>
      <c r="G25">
        <f t="shared" si="1"/>
        <v>750.42699999999991</v>
      </c>
      <c r="H25">
        <v>85</v>
      </c>
    </row>
    <row r="26" spans="2:8" x14ac:dyDescent="0.3">
      <c r="B26">
        <v>3.9028399999999999</v>
      </c>
      <c r="C26">
        <v>0.66541300000000003</v>
      </c>
      <c r="D26">
        <v>405905</v>
      </c>
      <c r="E26">
        <v>2.597</v>
      </c>
      <c r="F26">
        <v>0.40590500000000002</v>
      </c>
      <c r="G26">
        <f t="shared" si="1"/>
        <v>405.90500000000003</v>
      </c>
      <c r="H26">
        <v>85</v>
      </c>
    </row>
    <row r="27" spans="2:8" x14ac:dyDescent="0.3">
      <c r="B27">
        <v>3.2284519999999999</v>
      </c>
      <c r="C27">
        <v>1.500081</v>
      </c>
      <c r="D27">
        <v>73719</v>
      </c>
      <c r="E27">
        <v>4.8429399999999996</v>
      </c>
      <c r="F27">
        <v>7.3719000000000007E-2</v>
      </c>
      <c r="G27">
        <f t="shared" si="1"/>
        <v>73.719000000000008</v>
      </c>
      <c r="H27">
        <v>85</v>
      </c>
    </row>
    <row r="28" spans="2:8" x14ac:dyDescent="0.3">
      <c r="B28">
        <v>3.7429549999999998</v>
      </c>
      <c r="C28">
        <v>1.4394549999999999</v>
      </c>
      <c r="D28">
        <v>56153</v>
      </c>
      <c r="E28">
        <v>5.3878149999999998</v>
      </c>
      <c r="F28">
        <v>5.6153000000000002E-2</v>
      </c>
      <c r="G28">
        <f t="shared" si="1"/>
        <v>56.152999999999999</v>
      </c>
      <c r="H28">
        <v>85</v>
      </c>
    </row>
    <row r="29" spans="2:8" x14ac:dyDescent="0.3">
      <c r="B29">
        <v>4.2564320000000002</v>
      </c>
      <c r="C29">
        <v>1.380339</v>
      </c>
      <c r="D29">
        <v>43491</v>
      </c>
      <c r="E29">
        <v>5.8753190000000002</v>
      </c>
      <c r="F29">
        <v>4.3491000000000002E-2</v>
      </c>
      <c r="G29">
        <f t="shared" si="1"/>
        <v>43.491</v>
      </c>
      <c r="H29">
        <v>85</v>
      </c>
    </row>
    <row r="30" spans="2:8" x14ac:dyDescent="0.3">
      <c r="B30">
        <v>4.7627350000000002</v>
      </c>
      <c r="C30">
        <v>1.344487</v>
      </c>
      <c r="D30">
        <v>34578</v>
      </c>
      <c r="E30">
        <v>6.403435</v>
      </c>
      <c r="F30">
        <v>3.4577999999999998E-2</v>
      </c>
      <c r="G30">
        <f t="shared" si="1"/>
        <v>34.577999999999996</v>
      </c>
      <c r="H30">
        <v>85</v>
      </c>
    </row>
    <row r="31" spans="2:8" x14ac:dyDescent="0.3">
      <c r="B31">
        <v>3.1485089999999998</v>
      </c>
      <c r="C31">
        <v>5.3499629999999998</v>
      </c>
      <c r="D31">
        <v>3718</v>
      </c>
      <c r="E31">
        <v>16.844407</v>
      </c>
      <c r="F31">
        <v>3.718E-3</v>
      </c>
      <c r="G31">
        <f t="shared" si="1"/>
        <v>3.718</v>
      </c>
      <c r="H31">
        <v>85</v>
      </c>
    </row>
    <row r="32" spans="2:8" x14ac:dyDescent="0.3">
      <c r="B32">
        <v>3.6671119999999999</v>
      </c>
      <c r="C32">
        <v>5.1576110000000002</v>
      </c>
      <c r="D32">
        <v>2879</v>
      </c>
      <c r="E32">
        <v>18.913537000000002</v>
      </c>
      <c r="F32">
        <v>2.879E-3</v>
      </c>
      <c r="G32">
        <f t="shared" si="1"/>
        <v>2.879</v>
      </c>
      <c r="H32">
        <v>85</v>
      </c>
    </row>
    <row r="33" spans="2:19" x14ac:dyDescent="0.3">
      <c r="B33">
        <v>4.1744399999999997</v>
      </c>
      <c r="C33">
        <v>5.0740230000000004</v>
      </c>
      <c r="D33">
        <v>2285</v>
      </c>
      <c r="E33">
        <v>21.181204999999999</v>
      </c>
      <c r="F33">
        <v>2.2850000000000001E-3</v>
      </c>
      <c r="G33">
        <f t="shared" si="1"/>
        <v>2.2850000000000001</v>
      </c>
      <c r="H33">
        <v>85</v>
      </c>
    </row>
    <row r="34" spans="2:19" x14ac:dyDescent="0.3">
      <c r="B34">
        <v>4.685867</v>
      </c>
      <c r="C34">
        <v>4.9632449999999997</v>
      </c>
      <c r="D34">
        <v>1676</v>
      </c>
      <c r="E34">
        <v>23.257106</v>
      </c>
      <c r="F34">
        <v>1.676E-3</v>
      </c>
      <c r="G34">
        <f t="shared" si="1"/>
        <v>1.6759999999999999</v>
      </c>
      <c r="H34">
        <v>85</v>
      </c>
    </row>
    <row r="35" spans="2:19" x14ac:dyDescent="0.3">
      <c r="G35">
        <f t="shared" si="1"/>
        <v>0</v>
      </c>
    </row>
    <row r="36" spans="2:19" x14ac:dyDescent="0.3">
      <c r="B36">
        <v>2.9578769999999999</v>
      </c>
      <c r="C36">
        <v>0.35130499999999998</v>
      </c>
      <c r="D36">
        <v>782365</v>
      </c>
      <c r="E36">
        <v>1.0391170000000001</v>
      </c>
      <c r="F36">
        <v>0.78236499999999998</v>
      </c>
      <c r="G36">
        <f t="shared" si="1"/>
        <v>782.36500000000001</v>
      </c>
      <c r="H36">
        <v>125</v>
      </c>
    </row>
    <row r="37" spans="2:19" x14ac:dyDescent="0.3">
      <c r="B37">
        <v>3.461106</v>
      </c>
      <c r="C37">
        <v>0.32894800000000002</v>
      </c>
      <c r="D37">
        <v>583230</v>
      </c>
      <c r="E37">
        <v>1.1385240000000001</v>
      </c>
      <c r="F37">
        <v>0.58323000000000003</v>
      </c>
      <c r="G37">
        <f t="shared" si="1"/>
        <v>583.23</v>
      </c>
      <c r="H37">
        <v>125</v>
      </c>
    </row>
    <row r="38" spans="2:19" x14ac:dyDescent="0.3">
      <c r="B38">
        <v>3.9684339999999998</v>
      </c>
      <c r="C38">
        <v>0.31575500000000001</v>
      </c>
      <c r="D38">
        <v>441813</v>
      </c>
      <c r="E38">
        <v>1.253053</v>
      </c>
      <c r="F38">
        <v>0.44181300000000001</v>
      </c>
      <c r="G38">
        <f t="shared" si="1"/>
        <v>441.81299999999999</v>
      </c>
      <c r="H38">
        <v>125</v>
      </c>
      <c r="S38" s="158"/>
    </row>
    <row r="39" spans="2:19" x14ac:dyDescent="0.3">
      <c r="B39">
        <v>4.4696119999999997</v>
      </c>
      <c r="C39">
        <v>0.30669099999999999</v>
      </c>
      <c r="D39">
        <v>344156</v>
      </c>
      <c r="E39">
        <v>1.37079</v>
      </c>
      <c r="F39">
        <v>0.34415600000000002</v>
      </c>
      <c r="G39">
        <f t="shared" si="1"/>
        <v>344.15600000000001</v>
      </c>
      <c r="H39">
        <v>125</v>
      </c>
      <c r="S39" s="158"/>
    </row>
    <row r="40" spans="2:19" x14ac:dyDescent="0.3">
      <c r="B40">
        <v>2.686277</v>
      </c>
      <c r="C40">
        <v>1.521733</v>
      </c>
      <c r="D40">
        <v>12623</v>
      </c>
      <c r="E40">
        <v>4.087796</v>
      </c>
      <c r="F40">
        <v>1.2623000000000001E-2</v>
      </c>
      <c r="G40">
        <f t="shared" si="1"/>
        <v>12.623000000000001</v>
      </c>
      <c r="H40">
        <v>125</v>
      </c>
      <c r="S40" s="158"/>
    </row>
    <row r="41" spans="2:19" x14ac:dyDescent="0.3">
      <c r="B41">
        <v>3.2182029999999999</v>
      </c>
      <c r="C41">
        <v>1.4366350000000001</v>
      </c>
      <c r="D41">
        <v>10184</v>
      </c>
      <c r="E41">
        <v>4.6233829999999996</v>
      </c>
      <c r="F41">
        <v>1.0184E-2</v>
      </c>
      <c r="G41">
        <f t="shared" si="1"/>
        <v>10.184000000000001</v>
      </c>
      <c r="H41">
        <v>125</v>
      </c>
      <c r="S41" s="158"/>
    </row>
    <row r="42" spans="2:19" x14ac:dyDescent="0.3">
      <c r="B42">
        <v>3.7347549999999998</v>
      </c>
      <c r="C42">
        <v>1.344991</v>
      </c>
      <c r="D42">
        <v>8007</v>
      </c>
      <c r="E42">
        <v>5.023212</v>
      </c>
      <c r="F42">
        <v>8.0070000000000002E-3</v>
      </c>
      <c r="G42">
        <f t="shared" si="1"/>
        <v>8.0069999999999997</v>
      </c>
      <c r="H42">
        <v>125</v>
      </c>
      <c r="S42" s="158"/>
    </row>
    <row r="43" spans="2:19" x14ac:dyDescent="0.3">
      <c r="B43">
        <v>4.2472079999999997</v>
      </c>
      <c r="C43">
        <v>1.302492</v>
      </c>
      <c r="D43">
        <v>6375</v>
      </c>
      <c r="E43">
        <v>5.5319539999999998</v>
      </c>
      <c r="F43">
        <v>6.3749999999999996E-3</v>
      </c>
      <c r="G43">
        <f t="shared" si="1"/>
        <v>6.375</v>
      </c>
      <c r="H43">
        <v>125</v>
      </c>
      <c r="S43" s="158"/>
    </row>
    <row r="44" spans="2:19" x14ac:dyDescent="0.3">
      <c r="B44">
        <v>4.7545359999999999</v>
      </c>
      <c r="C44">
        <v>1.284667</v>
      </c>
      <c r="D44">
        <v>5148</v>
      </c>
      <c r="E44">
        <v>6.1079949999999998</v>
      </c>
      <c r="F44">
        <v>5.1479999999999998E-3</v>
      </c>
      <c r="G44">
        <f t="shared" si="1"/>
        <v>5.1479999999999997</v>
      </c>
      <c r="H44">
        <v>125</v>
      </c>
    </row>
    <row r="45" spans="2:19" x14ac:dyDescent="0.3">
      <c r="B45">
        <v>3.1341610000000002</v>
      </c>
      <c r="C45">
        <v>5.3701049999999997</v>
      </c>
      <c r="D45">
        <v>625</v>
      </c>
      <c r="E45">
        <v>16.830774000000002</v>
      </c>
      <c r="F45">
        <v>6.2500000000000001E-4</v>
      </c>
      <c r="G45">
        <f t="shared" si="1"/>
        <v>0.625</v>
      </c>
      <c r="H45">
        <v>125</v>
      </c>
    </row>
    <row r="46" spans="2:19" x14ac:dyDescent="0.3">
      <c r="B46">
        <v>3.6589119999999999</v>
      </c>
      <c r="C46">
        <v>5.0498539999999998</v>
      </c>
      <c r="D46">
        <v>501</v>
      </c>
      <c r="E46">
        <v>18.476970999999999</v>
      </c>
      <c r="F46">
        <v>5.0100000000000003E-4</v>
      </c>
      <c r="G46">
        <f t="shared" si="1"/>
        <v>0.501</v>
      </c>
      <c r="H46">
        <v>125</v>
      </c>
    </row>
    <row r="47" spans="2:19" x14ac:dyDescent="0.3">
      <c r="B47">
        <v>4.1693150000000001</v>
      </c>
      <c r="C47">
        <v>5.081073</v>
      </c>
      <c r="D47">
        <v>404</v>
      </c>
      <c r="E47">
        <v>21.184594000000001</v>
      </c>
      <c r="F47">
        <v>4.0400000000000001E-4</v>
      </c>
      <c r="G47">
        <f t="shared" si="1"/>
        <v>0.40400000000000003</v>
      </c>
      <c r="H47">
        <v>125</v>
      </c>
    </row>
    <row r="48" spans="2:19" x14ac:dyDescent="0.3">
      <c r="B48">
        <v>4.6745939999999999</v>
      </c>
      <c r="C48">
        <v>5.0407900000000003</v>
      </c>
      <c r="D48">
        <v>349</v>
      </c>
      <c r="E48">
        <v>23.563647</v>
      </c>
      <c r="F48">
        <v>3.4900000000000003E-4</v>
      </c>
      <c r="G48">
        <f t="shared" si="1"/>
        <v>0.34900000000000003</v>
      </c>
      <c r="H48">
        <v>125</v>
      </c>
    </row>
    <row r="49" spans="2:8" x14ac:dyDescent="0.3">
      <c r="G49">
        <f t="shared" si="1"/>
        <v>0</v>
      </c>
    </row>
    <row r="50" spans="2:8" x14ac:dyDescent="0.3">
      <c r="B50">
        <v>2.9260000000000002</v>
      </c>
      <c r="C50">
        <v>0.33941399999999999</v>
      </c>
      <c r="E50">
        <f>B50*C50</f>
        <v>0.99312536400000007</v>
      </c>
      <c r="G50">
        <f t="shared" si="1"/>
        <v>0</v>
      </c>
      <c r="H50">
        <v>-40</v>
      </c>
    </row>
    <row r="51" spans="2:8" x14ac:dyDescent="0.3">
      <c r="B51">
        <v>3.43</v>
      </c>
      <c r="C51">
        <v>0.30612899999999998</v>
      </c>
      <c r="E51">
        <f>B51*C51</f>
        <v>1.05002247</v>
      </c>
      <c r="G51">
        <f t="shared" si="1"/>
        <v>0</v>
      </c>
      <c r="H51">
        <v>-40</v>
      </c>
    </row>
    <row r="52" spans="2:8" x14ac:dyDescent="0.3">
      <c r="B52">
        <v>3.931</v>
      </c>
      <c r="C52">
        <v>0.28817700000000002</v>
      </c>
      <c r="E52">
        <f>B52*C52</f>
        <v>1.132823787</v>
      </c>
      <c r="G52">
        <f t="shared" si="1"/>
        <v>0</v>
      </c>
      <c r="H52">
        <v>-40</v>
      </c>
    </row>
    <row r="53" spans="2:8" x14ac:dyDescent="0.3">
      <c r="B53">
        <v>4.4219999999999997</v>
      </c>
      <c r="C53">
        <v>0.27689900000000001</v>
      </c>
      <c r="E53">
        <f>B53*C53</f>
        <v>1.224447378</v>
      </c>
      <c r="G53">
        <f t="shared" si="1"/>
        <v>0</v>
      </c>
      <c r="H53">
        <v>-40</v>
      </c>
    </row>
    <row r="54" spans="2:8" x14ac:dyDescent="0.3">
      <c r="B54">
        <v>4.9359999999999999</v>
      </c>
      <c r="C54">
        <v>0.26941999999999999</v>
      </c>
      <c r="E54">
        <f>B54*C54</f>
        <v>1.32985712</v>
      </c>
      <c r="G54">
        <f t="shared" si="1"/>
        <v>0</v>
      </c>
      <c r="H54">
        <v>-40</v>
      </c>
    </row>
    <row r="55" spans="2:8" x14ac:dyDescent="0.3">
      <c r="B55">
        <v>2.7047249999999998</v>
      </c>
      <c r="C55">
        <v>1.6644369999999999</v>
      </c>
      <c r="D55">
        <v>2031010</v>
      </c>
      <c r="E55">
        <v>4.5018440000000002</v>
      </c>
      <c r="F55">
        <v>2.0310100000000002</v>
      </c>
      <c r="G55">
        <f t="shared" si="1"/>
        <v>2031.0100000000002</v>
      </c>
      <c r="H55">
        <v>-40</v>
      </c>
    </row>
    <row r="56" spans="2:8" x14ac:dyDescent="0.3">
      <c r="B56">
        <v>3.2489499999999998</v>
      </c>
      <c r="C56">
        <v>1.4903120000000001</v>
      </c>
      <c r="D56">
        <v>1365979</v>
      </c>
      <c r="E56">
        <v>4.8419489999999996</v>
      </c>
      <c r="F56">
        <v>1.3659790000000001</v>
      </c>
      <c r="G56">
        <f t="shared" si="1"/>
        <v>1365.979</v>
      </c>
      <c r="H56">
        <v>-40</v>
      </c>
    </row>
    <row r="57" spans="2:8" x14ac:dyDescent="0.3">
      <c r="B57">
        <v>3.7737020000000001</v>
      </c>
      <c r="C57">
        <v>1.3934310000000001</v>
      </c>
      <c r="D57">
        <v>936735</v>
      </c>
      <c r="E57">
        <v>5.2583929999999999</v>
      </c>
      <c r="F57">
        <v>0.93673499999999998</v>
      </c>
      <c r="G57">
        <f t="shared" si="1"/>
        <v>936.73500000000001</v>
      </c>
      <c r="H57">
        <v>-40</v>
      </c>
    </row>
    <row r="58" spans="2:8" x14ac:dyDescent="0.3">
      <c r="B58">
        <v>4.2912790000000003</v>
      </c>
      <c r="C58">
        <v>1.385173</v>
      </c>
      <c r="D58">
        <v>673948</v>
      </c>
      <c r="E58">
        <v>5.9441639999999998</v>
      </c>
      <c r="F58">
        <v>0.67394799999999999</v>
      </c>
      <c r="G58">
        <f t="shared" si="1"/>
        <v>673.94799999999998</v>
      </c>
      <c r="H58">
        <v>-40</v>
      </c>
    </row>
    <row r="59" spans="2:8" x14ac:dyDescent="0.3">
      <c r="B59">
        <v>4.8047560000000002</v>
      </c>
      <c r="C59">
        <v>1.342473</v>
      </c>
      <c r="D59">
        <v>505132</v>
      </c>
      <c r="E59">
        <v>6.4502550000000003</v>
      </c>
      <c r="F59">
        <v>0.50513200000000003</v>
      </c>
      <c r="G59">
        <f t="shared" si="1"/>
        <v>505.13200000000001</v>
      </c>
      <c r="H59">
        <v>-40</v>
      </c>
    </row>
    <row r="60" spans="2:8" x14ac:dyDescent="0.3">
      <c r="B60">
        <v>3.1249370000000001</v>
      </c>
      <c r="C60">
        <v>4.7346370000000002</v>
      </c>
      <c r="D60">
        <v>36134</v>
      </c>
      <c r="E60">
        <v>14.795442</v>
      </c>
      <c r="F60">
        <v>3.6133999999999999E-2</v>
      </c>
      <c r="G60">
        <f t="shared" si="1"/>
        <v>36.134</v>
      </c>
      <c r="H60">
        <v>-40</v>
      </c>
    </row>
    <row r="61" spans="2:8" x14ac:dyDescent="0.3">
      <c r="B61">
        <v>3.6558380000000001</v>
      </c>
      <c r="C61">
        <v>4.9380680000000003</v>
      </c>
      <c r="D61">
        <v>28509</v>
      </c>
      <c r="E61">
        <v>18.052776999999999</v>
      </c>
      <c r="F61">
        <v>2.8509E-2</v>
      </c>
      <c r="G61">
        <f t="shared" si="1"/>
        <v>28.509</v>
      </c>
      <c r="H61">
        <v>-40</v>
      </c>
    </row>
    <row r="62" spans="2:8" x14ac:dyDescent="0.3">
      <c r="B62">
        <v>4.1744399999999997</v>
      </c>
      <c r="C62">
        <v>4.7870059999999999</v>
      </c>
      <c r="D62">
        <v>22233</v>
      </c>
      <c r="E62">
        <v>19.983069</v>
      </c>
      <c r="F62">
        <v>2.2232999999999999E-2</v>
      </c>
      <c r="G62">
        <f t="shared" si="1"/>
        <v>22.233000000000001</v>
      </c>
      <c r="H62">
        <v>-40</v>
      </c>
    </row>
    <row r="63" spans="2:8" x14ac:dyDescent="0.3">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Filip Geib</cp:lastModifiedBy>
  <cp:lastPrinted>2013-06-05T10:58:25Z</cp:lastPrinted>
  <dcterms:created xsi:type="dcterms:W3CDTF">2013-05-30T14:28:05Z</dcterms:created>
  <dcterms:modified xsi:type="dcterms:W3CDTF">2021-08-08T12:46:08Z</dcterms:modified>
</cp:coreProperties>
</file>